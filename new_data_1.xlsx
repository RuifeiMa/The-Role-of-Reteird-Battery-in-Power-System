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15 Battery in PowerGrid\15-9 Code\National model\National model _ v8\National Model  Reproduction - v1 - 删减重要数据\"/>
    </mc:Choice>
  </mc:AlternateContent>
  <xr:revisionPtr revIDLastSave="0" documentId="13_ncr:1_{6F8DCAAA-19E4-4FC9-8537-FCBD4C1CA341}" xr6:coauthVersionLast="47" xr6:coauthVersionMax="47" xr10:uidLastSave="{00000000-0000-0000-0000-000000000000}"/>
  <bookViews>
    <workbookView xWindow="-110" yWindow="-110" windowWidth="25820" windowHeight="15500" tabRatio="889" activeTab="6" xr2:uid="{00000000-000D-0000-FFFF-FFFF00000000}"/>
  </bookViews>
  <sheets>
    <sheet name="I0" sheetId="1" r:id="rId1"/>
    <sheet name="I0_zhang" sheetId="14" r:id="rId2"/>
    <sheet name="ydl_cn2050" sheetId="8" r:id="rId3"/>
    <sheet name="upper_limit" sheetId="13" r:id="rId4"/>
    <sheet name="Manucap" sheetId="12" r:id="rId5"/>
    <sheet name="m1" sheetId="9" r:id="rId6"/>
    <sheet name="gas" sheetId="10" r:id="rId7"/>
    <sheet name="m3" sheetId="11" r:id="rId8"/>
    <sheet name="lifetime" sheetId="2" r:id="rId9"/>
    <sheet name="cost_inv" sheetId="5" r:id="rId10"/>
    <sheet name="cost_fom" sheetId="6" r:id="rId11"/>
    <sheet name="cost_ope" sheetId="7" r:id="rId12"/>
    <sheet name="existing_lines" sheetId="3" r:id="rId13"/>
    <sheet name="candidate_lines" sheetId="4" r:id="rId14"/>
    <sheet name="cf_h_upper" sheetId="15" r:id="rId15"/>
    <sheet name="cost_inv_us" sheetId="16" r:id="rId16"/>
    <sheet name="cost_fom_us" sheetId="17" r:id="rId17"/>
    <sheet name="cost_ope_u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C25" i="5"/>
  <c r="B25" i="5"/>
  <c r="H17" i="5"/>
  <c r="L15" i="5"/>
  <c r="M15" i="5" s="1"/>
  <c r="J15" i="5"/>
  <c r="I15" i="5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8" i="12"/>
  <c r="F8" i="12"/>
  <c r="E8" i="12"/>
  <c r="D8" i="12"/>
  <c r="C8" i="12"/>
  <c r="G7" i="12"/>
  <c r="F7" i="12"/>
  <c r="E7" i="12"/>
  <c r="D7" i="12"/>
  <c r="C7" i="12"/>
  <c r="G6" i="12"/>
  <c r="F6" i="12"/>
  <c r="E6" i="12"/>
  <c r="D6" i="12"/>
  <c r="C6" i="12"/>
  <c r="G5" i="12"/>
  <c r="F5" i="12"/>
  <c r="E5" i="12"/>
  <c r="D5" i="12"/>
  <c r="C5" i="12"/>
  <c r="G4" i="12"/>
  <c r="F4" i="12"/>
  <c r="E4" i="12"/>
  <c r="D4" i="12"/>
  <c r="C4" i="12"/>
  <c r="G3" i="12"/>
  <c r="F3" i="12"/>
  <c r="E3" i="12"/>
  <c r="D3" i="12"/>
  <c r="C3" i="12"/>
</calcChain>
</file>

<file path=xl/sharedStrings.xml><?xml version="1.0" encoding="utf-8"?>
<sst xmlns="http://schemas.openxmlformats.org/spreadsheetml/2006/main" count="1411" uniqueCount="173">
  <si>
    <t>能源类型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</si>
  <si>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</si>
  <si>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</si>
  <si>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</si>
  <si>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</si>
  <si>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</si>
  <si>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</si>
  <si>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</si>
  <si>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</si>
  <si>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</si>
  <si>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</si>
  <si>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</si>
  <si>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</si>
  <si>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</si>
  <si>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</si>
  <si>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</si>
  <si>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</si>
  <si>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</si>
  <si>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</si>
  <si>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</si>
  <si>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</si>
  <si>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</si>
  <si>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</si>
  <si>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</si>
  <si>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</si>
  <si>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</si>
  <si>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</si>
  <si>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</si>
  <si>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</si>
  <si>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</si>
  <si>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</si>
  <si>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</si>
  <si>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煤电</t>
  </si>
  <si>
    <t>天然气电</t>
  </si>
  <si>
    <t>海上风电</t>
  </si>
  <si>
    <t>陆上风电</t>
  </si>
  <si>
    <t>集中式光伏</t>
  </si>
  <si>
    <t>水电（不含抽水蓄能）</t>
  </si>
  <si>
    <t>核电</t>
  </si>
  <si>
    <t>电化学储能（《2021储能产业应用研究报告》）</t>
  </si>
  <si>
    <t>煤电-ccs</t>
  </si>
  <si>
    <t>气电-ccs</t>
  </si>
  <si>
    <t>分布式光伏</t>
  </si>
  <si>
    <t>生物质能发电</t>
  </si>
  <si>
    <t>生物质能-ccs</t>
  </si>
  <si>
    <t>抽水蓄能</t>
  </si>
  <si>
    <t>csp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</si>
  <si>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</si>
  <si>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</si>
  <si>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</si>
  <si>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</si>
  <si>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</si>
  <si>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</si>
  <si>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</si>
  <si>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</si>
  <si>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</si>
  <si>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</si>
  <si>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</si>
  <si>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</si>
  <si>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</si>
  <si>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</si>
  <si>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</si>
  <si>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</si>
  <si>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</si>
  <si>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</si>
  <si>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</si>
  <si>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</si>
  <si>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</si>
  <si>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</si>
  <si>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</si>
  <si>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</si>
  <si>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</si>
  <si>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</si>
  <si>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</si>
  <si>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</si>
  <si>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</si>
  <si>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</si>
  <si>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</si>
  <si>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核电（来自十四五规划）</t>
  </si>
  <si>
    <t>分布式光伏（数据来自广东电网，伟）</t>
  </si>
  <si>
    <t>集中式光伏（数据来自广东电网，伟）</t>
  </si>
  <si>
    <t>陆上风电（数据来自广东电网，伟）</t>
  </si>
  <si>
    <t>海上风电（数据来自广东电网，伟）</t>
  </si>
  <si>
    <t>CSP</t>
  </si>
  <si>
    <t>北京装机制造能力（MW）表示阶段中每年的装机能力</t>
  </si>
  <si>
    <t>2021-2025</t>
  </si>
  <si>
    <t>2026-2030</t>
  </si>
  <si>
    <t>2031-2035</t>
  </si>
  <si>
    <t>2036-2040</t>
  </si>
  <si>
    <t>2041-2045</t>
  </si>
  <si>
    <t>2046-2050</t>
  </si>
  <si>
    <t>储能</t>
  </si>
  <si>
    <t>生物质能</t>
  </si>
  <si>
    <t>水能+抽水蓄能</t>
  </si>
  <si>
    <t>Onland wind</t>
  </si>
  <si>
    <t>Offshore wind</t>
  </si>
  <si>
    <t>PV utility</t>
  </si>
  <si>
    <t>PV distributed</t>
  </si>
  <si>
    <t>BESS</t>
  </si>
  <si>
    <t>gas costraints-2025/(10^8 m3)</t>
  </si>
  <si>
    <t>gas costraints-2030/(10^8 m3)</t>
  </si>
  <si>
    <t>gas costraints-2035/(10^8 m3)</t>
  </si>
  <si>
    <t>gas costraints-2040/(10^8 m3)</t>
  </si>
  <si>
    <t>gas costraints-2045/(10^8 m3)</t>
  </si>
  <si>
    <t>gas costraints-2050/(10^8 m3)</t>
  </si>
  <si>
    <t>gas costraints-2055/(10^8 m3)</t>
  </si>
  <si>
    <t>gas costraints-2060/(10^8 m3)</t>
  </si>
  <si>
    <t>云南装机制造能力（MW）表示阶段中每年的装机能力</t>
  </si>
  <si>
    <t>水电</t>
  </si>
  <si>
    <r>
      <rPr>
        <sz val="10"/>
        <rFont val="宋体"/>
        <family val="3"/>
        <charset val="134"/>
      </rPr>
      <t>单位：</t>
    </r>
    <r>
      <rPr>
        <sz val="11"/>
        <color theme="1"/>
        <rFont val="等线"/>
        <family val="3"/>
        <charset val="134"/>
        <scheme val="minor"/>
      </rPr>
      <t>CNY/kw</t>
    </r>
  </si>
  <si>
    <t>coefficient</t>
  </si>
  <si>
    <t>value</t>
  </si>
  <si>
    <t>电化学储能</t>
  </si>
  <si>
    <t xml:space="preserve">csp </t>
  </si>
  <si>
    <r>
      <rPr>
        <sz val="11"/>
        <color theme="1"/>
        <rFont val="等线"/>
        <family val="3"/>
        <charset val="134"/>
        <scheme val="minor"/>
      </rPr>
      <t>2025</t>
    </r>
    <r>
      <rPr>
        <sz val="10"/>
        <rFont val="宋体"/>
        <family val="3"/>
        <charset val="134"/>
      </rPr>
      <t>年</t>
    </r>
    <r>
      <rPr>
        <sz val="11"/>
        <color theme="1"/>
        <rFont val="等线"/>
        <family val="3"/>
        <charset val="134"/>
        <scheme val="minor"/>
      </rPr>
      <t>Advanced</t>
    </r>
  </si>
  <si>
    <r>
      <rPr>
        <sz val="11"/>
        <color theme="1"/>
        <rFont val="等线"/>
        <family val="3"/>
        <charset val="134"/>
        <scheme val="minor"/>
      </rPr>
      <t>2030</t>
    </r>
    <r>
      <rPr>
        <sz val="10"/>
        <rFont val="宋体"/>
        <family val="3"/>
        <charset val="134"/>
      </rPr>
      <t>年</t>
    </r>
  </si>
  <si>
    <r>
      <rPr>
        <sz val="11"/>
        <color theme="1"/>
        <rFont val="等线"/>
        <family val="3"/>
        <charset val="134"/>
        <scheme val="minor"/>
      </rPr>
      <t>2035</t>
    </r>
    <r>
      <rPr>
        <sz val="10"/>
        <rFont val="宋体"/>
        <family val="3"/>
        <charset val="134"/>
      </rPr>
      <t>年</t>
    </r>
  </si>
  <si>
    <r>
      <rPr>
        <sz val="11"/>
        <color theme="1"/>
        <rFont val="等线"/>
        <family val="3"/>
        <charset val="134"/>
        <scheme val="minor"/>
      </rPr>
      <t>2040</t>
    </r>
    <r>
      <rPr>
        <sz val="10"/>
        <rFont val="宋体"/>
        <family val="3"/>
        <charset val="134"/>
      </rPr>
      <t>年</t>
    </r>
  </si>
  <si>
    <r>
      <rPr>
        <sz val="11"/>
        <color theme="1"/>
        <rFont val="等线"/>
        <family val="3"/>
        <charset val="134"/>
        <scheme val="minor"/>
      </rPr>
      <t>2045</t>
    </r>
    <r>
      <rPr>
        <sz val="10"/>
        <rFont val="宋体"/>
        <family val="3"/>
        <charset val="134"/>
      </rPr>
      <t>年</t>
    </r>
  </si>
  <si>
    <r>
      <rPr>
        <sz val="11"/>
        <color theme="1"/>
        <rFont val="等线"/>
        <family val="3"/>
        <charset val="134"/>
        <scheme val="minor"/>
      </rPr>
      <t>2050</t>
    </r>
    <r>
      <rPr>
        <sz val="10"/>
        <rFont val="宋体"/>
        <family val="3"/>
        <charset val="134"/>
      </rPr>
      <t>年</t>
    </r>
  </si>
  <si>
    <r>
      <rPr>
        <sz val="11"/>
        <color theme="1"/>
        <rFont val="等线"/>
        <family val="3"/>
        <charset val="134"/>
        <scheme val="minor"/>
      </rPr>
      <t>2025</t>
    </r>
    <r>
      <rPr>
        <sz val="10"/>
        <rFont val="宋体"/>
        <family val="3"/>
        <charset val="134"/>
      </rPr>
      <t>年</t>
    </r>
    <r>
      <rPr>
        <sz val="11"/>
        <color theme="1"/>
        <rFont val="等线"/>
        <family val="3"/>
        <charset val="134"/>
        <scheme val="minor"/>
      </rPr>
      <t>Moderate</t>
    </r>
  </si>
  <si>
    <r>
      <rPr>
        <sz val="11"/>
        <color theme="1"/>
        <rFont val="等线"/>
        <family val="3"/>
        <charset val="134"/>
        <scheme val="minor"/>
      </rPr>
      <t>2025</t>
    </r>
    <r>
      <rPr>
        <sz val="10"/>
        <rFont val="宋体"/>
        <family val="3"/>
        <charset val="134"/>
      </rPr>
      <t>年</t>
    </r>
    <r>
      <rPr>
        <sz val="11"/>
        <color theme="1"/>
        <rFont val="等线"/>
        <family val="3"/>
        <charset val="134"/>
        <scheme val="minor"/>
      </rPr>
      <t>Conservative</t>
    </r>
  </si>
  <si>
    <r>
      <rPr>
        <sz val="10"/>
        <rFont val="宋体"/>
        <family val="3"/>
        <charset val="134"/>
      </rPr>
      <t>单位：</t>
    </r>
    <r>
      <rPr>
        <sz val="11"/>
        <color theme="1"/>
        <rFont val="等线"/>
        <family val="3"/>
        <charset val="134"/>
        <scheme val="minor"/>
      </rPr>
      <t>CNY/kw</t>
    </r>
    <r>
      <rPr>
        <sz val="11"/>
        <color theme="1"/>
        <rFont val="等线"/>
        <family val="3"/>
        <charset val="134"/>
        <scheme val="minor"/>
      </rPr>
      <t>h</t>
    </r>
  </si>
  <si>
    <t>from province</t>
  </si>
  <si>
    <t>to province</t>
  </si>
  <si>
    <t>existingCapacity（MW）</t>
  </si>
  <si>
    <t>candidate Cap</t>
  </si>
  <si>
    <t>bus_type</t>
  </si>
  <si>
    <t>investment_cost(10^4CNY/MW)</t>
  </si>
  <si>
    <t>length</t>
  </si>
  <si>
    <t>lifetime</t>
  </si>
  <si>
    <t>lossrate</t>
  </si>
  <si>
    <t>SX</t>
  </si>
  <si>
    <t>HA</t>
  </si>
  <si>
    <t>AC</t>
  </si>
  <si>
    <t>HB</t>
  </si>
  <si>
    <t>AH</t>
  </si>
  <si>
    <t>ZJ</t>
  </si>
  <si>
    <t>SH</t>
  </si>
  <si>
    <t>JS</t>
  </si>
  <si>
    <t>FJ</t>
  </si>
  <si>
    <t>NM</t>
  </si>
  <si>
    <t>HE</t>
  </si>
  <si>
    <t>TJ</t>
  </si>
  <si>
    <t>SD</t>
  </si>
  <si>
    <t>SN</t>
  </si>
  <si>
    <t>BJ</t>
  </si>
  <si>
    <t>GZ</t>
  </si>
  <si>
    <t>GX</t>
  </si>
  <si>
    <t>GD</t>
  </si>
  <si>
    <t>YN</t>
  </si>
  <si>
    <t>HI</t>
  </si>
  <si>
    <t>HN</t>
  </si>
  <si>
    <t>SC</t>
  </si>
  <si>
    <t>XZ</t>
  </si>
  <si>
    <t>GS</t>
  </si>
  <si>
    <t>NX</t>
  </si>
  <si>
    <t>QH</t>
  </si>
  <si>
    <t>XJ</t>
  </si>
  <si>
    <t>HL</t>
  </si>
  <si>
    <t>JL</t>
  </si>
  <si>
    <t>LN</t>
  </si>
  <si>
    <t>JX</t>
  </si>
  <si>
    <t>CQ</t>
  </si>
  <si>
    <t>DC</t>
  </si>
  <si>
    <t>Capacity（MW）</t>
  </si>
  <si>
    <t>line_type</t>
  </si>
  <si>
    <t>SLB_LFP</t>
    <phoneticPr fontId="8" type="noConversion"/>
  </si>
  <si>
    <t>SLB_NCMH</t>
    <phoneticPr fontId="8" type="noConversion"/>
  </si>
  <si>
    <t>SLB_NCMM</t>
    <phoneticPr fontId="8" type="noConversion"/>
  </si>
  <si>
    <t>SLB_NCML</t>
    <phoneticPr fontId="8" type="noConversion"/>
  </si>
  <si>
    <t>SLB_NCA</t>
    <phoneticPr fontId="8" type="noConversion"/>
  </si>
  <si>
    <t>Some data are temporarily withheld from public release for security reasons. If needed, please contact the authors and state your justification.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</si>
</sst>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_ "/>
    <numFmt numFmtId="178" formatCode="0.0_);[Red]\(0.0\)"/>
    <numFmt numFmtId="179" formatCode="0_);[Red]\(0\)"/>
    <numFmt numFmtId="180" formatCode="0.00_);[Red]\(0.00\)"/>
  </numFmts>
  <fonts count="13" x14ac:knownFonts="1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等线"/>
      <family val="3"/>
      <charset val="134"/>
    </font>
    <font>
      <sz val="10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8DE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/>
    <xf numFmtId="178" fontId="0" fillId="0" borderId="0" xfId="0" applyNumberFormat="1" applyAlignment="1"/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wrapText="1"/>
    </xf>
    <xf numFmtId="10" fontId="0" fillId="0" borderId="0" xfId="0" applyNumberFormat="1" applyAlignment="1">
      <alignment horizontal="center" vertical="top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0" fontId="1" fillId="0" borderId="0" xfId="0" applyFont="1" applyAlignment="1"/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/>
    </xf>
    <xf numFmtId="179" fontId="1" fillId="0" borderId="0" xfId="0" applyNumberFormat="1" applyFont="1" applyAlignment="1">
      <alignment horizontal="right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9" fontId="0" fillId="0" borderId="0" xfId="0" applyNumberFormat="1" applyAlignment="1">
      <alignment horizontal="right"/>
    </xf>
    <xf numFmtId="0" fontId="1" fillId="4" borderId="0" xfId="0" applyFont="1" applyFill="1" applyAlignment="1"/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right"/>
    </xf>
    <xf numFmtId="0" fontId="1" fillId="5" borderId="0" xfId="0" applyFont="1" applyFill="1" applyAlignment="1"/>
    <xf numFmtId="179" fontId="0" fillId="0" borderId="0" xfId="0" applyNumberFormat="1" applyAlignment="1">
      <alignment horizontal="center"/>
    </xf>
    <xf numFmtId="179" fontId="0" fillId="3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5" fillId="5" borderId="0" xfId="0" applyFont="1" applyFill="1">
      <alignment vertical="center"/>
    </xf>
    <xf numFmtId="0" fontId="0" fillId="3" borderId="0" xfId="0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0" xfId="0" applyFont="1" applyAlignment="1"/>
    <xf numFmtId="0" fontId="10" fillId="0" borderId="0" xfId="0" applyFont="1">
      <alignment vertical="center"/>
    </xf>
    <xf numFmtId="0" fontId="11" fillId="0" borderId="0" xfId="0" applyFont="1" applyAlignment="1"/>
    <xf numFmtId="0" fontId="9" fillId="0" borderId="1" xfId="0" applyFont="1" applyBorder="1" applyAlignment="1">
      <alignment horizontal="center"/>
    </xf>
    <xf numFmtId="0" fontId="11" fillId="0" borderId="0" xfId="0" applyFont="1">
      <alignment vertical="center"/>
    </xf>
    <xf numFmtId="0" fontId="7" fillId="0" borderId="0" xfId="0" applyFont="1">
      <alignment vertical="center"/>
    </xf>
    <xf numFmtId="180" fontId="0" fillId="0" borderId="1" xfId="0" applyNumberFormat="1" applyBorder="1" applyAlignment="1">
      <alignment horizontal="center"/>
    </xf>
    <xf numFmtId="180" fontId="0" fillId="0" borderId="0" xfId="0" applyNumberFormat="1">
      <alignment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BE8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zoomScale="115" zoomScaleNormal="115" workbookViewId="0">
      <selection activeCell="B30" sqref="B30"/>
    </sheetView>
  </sheetViews>
  <sheetFormatPr defaultColWidth="8.83203125" defaultRowHeight="14" x14ac:dyDescent="0.3"/>
  <cols>
    <col min="1" max="1" width="26.082031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24" t="s">
        <v>32</v>
      </c>
      <c r="B2" s="9"/>
      <c r="C2" s="9"/>
      <c r="D2" s="9"/>
      <c r="E2" s="9"/>
      <c r="F2" s="9"/>
      <c r="G2" s="9"/>
      <c r="H2" s="9"/>
      <c r="I2" s="9"/>
      <c r="J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x14ac:dyDescent="0.3">
      <c r="A3" s="24" t="s">
        <v>33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9"/>
      <c r="S3" s="9"/>
      <c r="T3" s="9"/>
      <c r="U3" s="9"/>
      <c r="X3" s="9"/>
      <c r="Y3" s="9"/>
      <c r="Z3" s="9"/>
      <c r="AA3" s="9"/>
      <c r="AB3" s="9"/>
      <c r="AC3" s="9"/>
      <c r="AE3" s="9"/>
      <c r="AF3" s="9"/>
    </row>
    <row r="4" spans="1:32" x14ac:dyDescent="0.3">
      <c r="A4" s="24" t="s">
        <v>34</v>
      </c>
      <c r="B4" s="9"/>
      <c r="C4" s="9"/>
      <c r="D4" s="9"/>
      <c r="E4" s="9"/>
      <c r="F4" s="9"/>
      <c r="H4" s="9"/>
      <c r="I4" s="9"/>
      <c r="T4" s="9"/>
      <c r="U4" s="9"/>
      <c r="Z4" s="9"/>
    </row>
    <row r="5" spans="1:32" x14ac:dyDescent="0.3">
      <c r="A5" s="24" t="s">
        <v>35</v>
      </c>
      <c r="B5" s="9"/>
      <c r="C5" s="9"/>
      <c r="D5" s="9"/>
      <c r="T5" s="9"/>
      <c r="U5" s="9"/>
      <c r="Z5" s="9"/>
    </row>
    <row r="6" spans="1:32" x14ac:dyDescent="0.3">
      <c r="A6" s="24" t="s">
        <v>36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3">
      <c r="A7" s="24" t="s">
        <v>37</v>
      </c>
      <c r="B7" s="9"/>
      <c r="C7" s="9"/>
      <c r="D7" s="9"/>
      <c r="T7" s="9"/>
      <c r="U7" s="9"/>
      <c r="Z7" s="9"/>
    </row>
    <row r="8" spans="1:32" x14ac:dyDescent="0.3">
      <c r="A8" s="24" t="s">
        <v>38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3">
      <c r="A9" s="51" t="s">
        <v>39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x14ac:dyDescent="0.3">
      <c r="A10" s="24" t="s">
        <v>40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x14ac:dyDescent="0.3">
      <c r="A11" s="24" t="s">
        <v>41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3">
      <c r="A12" s="24" t="s">
        <v>42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x14ac:dyDescent="0.3">
      <c r="A13" s="24" t="s">
        <v>43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x14ac:dyDescent="0.3">
      <c r="A14" s="24" t="s">
        <v>44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x14ac:dyDescent="0.3">
      <c r="A15" s="24" t="s">
        <v>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x14ac:dyDescent="0.3">
      <c r="A16" t="s">
        <v>46</v>
      </c>
    </row>
    <row r="22" spans="1:1" x14ac:dyDescent="0.3">
      <c r="A22" s="59" t="s">
        <v>172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5"/>
  <sheetViews>
    <sheetView workbookViewId="0">
      <selection activeCell="A25" sqref="A25"/>
    </sheetView>
  </sheetViews>
  <sheetFormatPr defaultColWidth="9" defaultRowHeight="14" x14ac:dyDescent="0.3"/>
  <cols>
    <col min="1" max="1" width="33.58203125" customWidth="1"/>
    <col min="4" max="13" width="9.33203125"/>
    <col min="15" max="15" width="9.33203125"/>
    <col min="16" max="16" width="10.33203125"/>
    <col min="17" max="21" width="9.33203125"/>
    <col min="23" max="26" width="9.33203125"/>
    <col min="28" max="29" width="9.33203125"/>
    <col min="31" max="32" width="9.33203125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24" t="s">
        <v>32</v>
      </c>
    </row>
    <row r="3" spans="1:32" x14ac:dyDescent="0.25">
      <c r="A3" s="24" t="s">
        <v>33</v>
      </c>
    </row>
    <row r="4" spans="1:32" x14ac:dyDescent="0.25">
      <c r="A4" s="24" t="s">
        <v>34</v>
      </c>
    </row>
    <row r="5" spans="1:32" x14ac:dyDescent="0.25">
      <c r="A5" s="24" t="s">
        <v>35</v>
      </c>
    </row>
    <row r="6" spans="1:32" x14ac:dyDescent="0.25">
      <c r="A6" s="24" t="s">
        <v>36</v>
      </c>
    </row>
    <row r="7" spans="1:32" x14ac:dyDescent="0.25">
      <c r="A7" s="24" t="s">
        <v>37</v>
      </c>
    </row>
    <row r="8" spans="1:32" x14ac:dyDescent="0.25">
      <c r="A8" s="24" t="s">
        <v>38</v>
      </c>
    </row>
    <row r="9" spans="1:32" x14ac:dyDescent="0.3">
      <c r="A9" s="51" t="s">
        <v>39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x14ac:dyDescent="0.3">
      <c r="A10" s="24" t="s">
        <v>40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x14ac:dyDescent="0.3">
      <c r="A11" s="24" t="s">
        <v>41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x14ac:dyDescent="0.25">
      <c r="A12" s="24" t="s">
        <v>42</v>
      </c>
    </row>
    <row r="13" spans="1:32" x14ac:dyDescent="0.25">
      <c r="A13" s="24" t="s">
        <v>43</v>
      </c>
    </row>
    <row r="14" spans="1:32" x14ac:dyDescent="0.3">
      <c r="A14" s="24" t="s">
        <v>44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x14ac:dyDescent="0.3">
      <c r="A15" s="24" t="s">
        <v>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x14ac:dyDescent="0.3">
      <c r="A16" t="s">
        <v>46</v>
      </c>
    </row>
    <row r="17" spans="1:1" x14ac:dyDescent="0.25">
      <c r="A17" s="24" t="s">
        <v>167</v>
      </c>
    </row>
    <row r="25" spans="1:1" x14ac:dyDescent="0.3">
      <c r="A25" s="59" t="s">
        <v>172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topLeftCell="A6" zoomScale="115" zoomScaleNormal="115" workbookViewId="0">
      <selection activeCell="A34" sqref="A34"/>
    </sheetView>
  </sheetViews>
  <sheetFormatPr defaultColWidth="8.83203125" defaultRowHeight="14" x14ac:dyDescent="0.3"/>
  <sheetData>
    <row r="1" spans="1:7" x14ac:dyDescent="0.3">
      <c r="A1" s="49" t="s">
        <v>47</v>
      </c>
      <c r="B1" s="49"/>
      <c r="C1" s="49"/>
      <c r="D1" s="49"/>
      <c r="E1" s="49"/>
      <c r="F1" s="49"/>
      <c r="G1" s="49"/>
    </row>
    <row r="2" spans="1:7" x14ac:dyDescent="0.3">
      <c r="A2" s="49" t="s">
        <v>48</v>
      </c>
      <c r="B2" s="49"/>
      <c r="C2" s="49"/>
      <c r="D2" s="49"/>
      <c r="E2" s="49"/>
      <c r="F2" s="49"/>
      <c r="G2" s="49"/>
    </row>
    <row r="3" spans="1:7" x14ac:dyDescent="0.3">
      <c r="A3" s="49" t="s">
        <v>49</v>
      </c>
      <c r="B3" s="49"/>
      <c r="C3" s="49"/>
      <c r="D3" s="49"/>
      <c r="E3" s="49"/>
      <c r="F3" s="49"/>
      <c r="G3" s="49"/>
    </row>
    <row r="4" spans="1:7" x14ac:dyDescent="0.3">
      <c r="A4" s="49" t="s">
        <v>50</v>
      </c>
      <c r="B4" s="49"/>
      <c r="C4" s="49"/>
      <c r="D4" s="49"/>
      <c r="E4" s="49"/>
      <c r="F4" s="49"/>
      <c r="G4" s="49"/>
    </row>
    <row r="5" spans="1:7" ht="26" x14ac:dyDescent="0.3">
      <c r="A5" s="49" t="s">
        <v>51</v>
      </c>
      <c r="B5" s="49"/>
      <c r="C5" s="49"/>
      <c r="D5" s="49"/>
      <c r="E5" s="49"/>
      <c r="F5" s="49"/>
      <c r="G5" s="49"/>
    </row>
    <row r="6" spans="1:7" x14ac:dyDescent="0.3">
      <c r="A6" s="49" t="s">
        <v>52</v>
      </c>
      <c r="B6" s="49"/>
      <c r="C6" s="49"/>
      <c r="D6" s="49"/>
      <c r="E6" s="49"/>
      <c r="F6" s="49"/>
      <c r="G6" s="49"/>
    </row>
    <row r="7" spans="1:7" x14ac:dyDescent="0.3">
      <c r="A7" s="49" t="s">
        <v>53</v>
      </c>
      <c r="B7" s="49"/>
      <c r="C7" s="49"/>
      <c r="D7" s="49"/>
      <c r="E7" s="49"/>
      <c r="F7" s="49"/>
      <c r="G7" s="49"/>
    </row>
    <row r="8" spans="1:7" ht="26" x14ac:dyDescent="0.3">
      <c r="A8" s="49" t="s">
        <v>54</v>
      </c>
      <c r="B8" s="49"/>
      <c r="C8" s="49"/>
      <c r="D8" s="49"/>
      <c r="E8" s="49"/>
      <c r="F8" s="49"/>
      <c r="G8" s="49"/>
    </row>
    <row r="9" spans="1:7" x14ac:dyDescent="0.3">
      <c r="A9" s="49" t="s">
        <v>55</v>
      </c>
      <c r="B9" s="49"/>
      <c r="C9" s="49"/>
      <c r="D9" s="49"/>
      <c r="E9" s="49"/>
      <c r="F9" s="49"/>
      <c r="G9" s="49"/>
    </row>
    <row r="10" spans="1:7" x14ac:dyDescent="0.3">
      <c r="A10" s="49" t="s">
        <v>56</v>
      </c>
      <c r="B10" s="49"/>
      <c r="C10" s="49"/>
      <c r="D10" s="49"/>
      <c r="E10" s="49"/>
      <c r="F10" s="49"/>
      <c r="G10" s="49"/>
    </row>
    <row r="11" spans="1:7" x14ac:dyDescent="0.3">
      <c r="A11" s="49" t="s">
        <v>57</v>
      </c>
      <c r="B11" s="49"/>
      <c r="C11" s="49"/>
      <c r="D11" s="49"/>
      <c r="E11" s="49"/>
      <c r="F11" s="49"/>
      <c r="G11" s="49"/>
    </row>
    <row r="12" spans="1:7" x14ac:dyDescent="0.3">
      <c r="A12" s="49" t="s">
        <v>58</v>
      </c>
      <c r="B12" s="49"/>
      <c r="C12" s="49"/>
      <c r="D12" s="49"/>
      <c r="E12" s="49"/>
      <c r="F12" s="49"/>
      <c r="G12" s="49"/>
    </row>
    <row r="13" spans="1:7" x14ac:dyDescent="0.3">
      <c r="A13" s="49" t="s">
        <v>59</v>
      </c>
      <c r="B13" s="49"/>
      <c r="C13" s="49"/>
      <c r="D13" s="49"/>
      <c r="E13" s="49"/>
      <c r="F13" s="49"/>
      <c r="G13" s="49"/>
    </row>
    <row r="14" spans="1:7" x14ac:dyDescent="0.3">
      <c r="A14" s="49" t="s">
        <v>60</v>
      </c>
      <c r="B14" s="49"/>
      <c r="C14" s="49"/>
      <c r="D14" s="49"/>
      <c r="E14" s="49"/>
      <c r="F14" s="49"/>
      <c r="G14" s="49"/>
    </row>
    <row r="15" spans="1:7" x14ac:dyDescent="0.3">
      <c r="A15" s="49" t="s">
        <v>61</v>
      </c>
      <c r="B15" s="49"/>
      <c r="C15" s="49"/>
      <c r="D15" s="49"/>
      <c r="E15" s="49"/>
      <c r="F15" s="49"/>
      <c r="G15" s="49"/>
    </row>
    <row r="16" spans="1:7" x14ac:dyDescent="0.3">
      <c r="A16" s="49" t="s">
        <v>62</v>
      </c>
      <c r="B16" s="49"/>
      <c r="C16" s="49"/>
      <c r="D16" s="49"/>
      <c r="E16" s="49"/>
      <c r="F16" s="49"/>
      <c r="G16" s="49"/>
    </row>
    <row r="17" spans="1:7" x14ac:dyDescent="0.3">
      <c r="A17" s="49" t="s">
        <v>63</v>
      </c>
      <c r="B17" s="49"/>
      <c r="C17" s="49"/>
      <c r="D17" s="49"/>
      <c r="E17" s="49"/>
      <c r="F17" s="49"/>
      <c r="G17" s="49"/>
    </row>
    <row r="18" spans="1:7" x14ac:dyDescent="0.3">
      <c r="A18" s="49" t="s">
        <v>64</v>
      </c>
      <c r="B18" s="49"/>
      <c r="C18" s="49"/>
      <c r="D18" s="49"/>
      <c r="E18" s="49"/>
      <c r="F18" s="49"/>
      <c r="G18" s="49"/>
    </row>
    <row r="19" spans="1:7" x14ac:dyDescent="0.3">
      <c r="A19" s="49" t="s">
        <v>65</v>
      </c>
      <c r="B19" s="49"/>
      <c r="C19" s="49"/>
      <c r="D19" s="49"/>
      <c r="E19" s="49"/>
      <c r="F19" s="49"/>
      <c r="G19" s="49"/>
    </row>
    <row r="20" spans="1:7" x14ac:dyDescent="0.3">
      <c r="A20" s="49" t="s">
        <v>66</v>
      </c>
      <c r="B20" s="49"/>
      <c r="C20" s="49"/>
      <c r="D20" s="49"/>
      <c r="E20" s="49"/>
      <c r="F20" s="49"/>
      <c r="G20" s="49"/>
    </row>
    <row r="21" spans="1:7" x14ac:dyDescent="0.3">
      <c r="A21" s="49" t="s">
        <v>67</v>
      </c>
      <c r="B21" s="49"/>
      <c r="C21" s="49"/>
      <c r="D21" s="49"/>
      <c r="E21" s="49"/>
      <c r="F21" s="49"/>
      <c r="G21" s="49"/>
    </row>
    <row r="22" spans="1:7" x14ac:dyDescent="0.3">
      <c r="A22" s="49" t="s">
        <v>68</v>
      </c>
      <c r="B22" s="49"/>
      <c r="C22" s="49"/>
      <c r="D22" s="49"/>
      <c r="E22" s="49"/>
      <c r="F22" s="49"/>
      <c r="G22" s="49"/>
    </row>
    <row r="23" spans="1:7" x14ac:dyDescent="0.3">
      <c r="A23" s="49" t="s">
        <v>69</v>
      </c>
      <c r="B23" s="49"/>
      <c r="C23" s="49"/>
      <c r="D23" s="49"/>
      <c r="E23" s="49"/>
      <c r="F23" s="49"/>
      <c r="G23" s="49"/>
    </row>
    <row r="24" spans="1:7" x14ac:dyDescent="0.3">
      <c r="A24" s="49" t="s">
        <v>70</v>
      </c>
      <c r="B24" s="49"/>
      <c r="C24" s="49"/>
      <c r="D24" s="49"/>
      <c r="E24" s="49"/>
      <c r="F24" s="49"/>
      <c r="G24" s="49"/>
    </row>
    <row r="25" spans="1:7" x14ac:dyDescent="0.3">
      <c r="A25" s="49" t="s">
        <v>71</v>
      </c>
      <c r="B25" s="49"/>
      <c r="C25" s="49"/>
      <c r="D25" s="49"/>
      <c r="E25" s="49"/>
      <c r="F25" s="49"/>
      <c r="G25" s="49"/>
    </row>
    <row r="26" spans="1:7" x14ac:dyDescent="0.3">
      <c r="A26" s="49" t="s">
        <v>72</v>
      </c>
      <c r="B26" s="49"/>
      <c r="C26" s="49"/>
      <c r="D26" s="49"/>
      <c r="E26" s="49"/>
      <c r="F26" s="49"/>
      <c r="G26" s="49"/>
    </row>
    <row r="27" spans="1:7" x14ac:dyDescent="0.3">
      <c r="A27" s="49" t="s">
        <v>73</v>
      </c>
      <c r="B27" s="49"/>
      <c r="C27" s="49"/>
      <c r="D27" s="49"/>
      <c r="E27" s="49"/>
      <c r="F27" s="49"/>
      <c r="G27" s="49"/>
    </row>
    <row r="28" spans="1:7" x14ac:dyDescent="0.3">
      <c r="A28" s="49" t="s">
        <v>74</v>
      </c>
      <c r="B28" s="49"/>
      <c r="C28" s="49"/>
      <c r="D28" s="49"/>
      <c r="E28" s="49"/>
      <c r="F28" s="49"/>
      <c r="G28" s="49"/>
    </row>
    <row r="29" spans="1:7" x14ac:dyDescent="0.3">
      <c r="A29" s="49" t="s">
        <v>75</v>
      </c>
      <c r="B29" s="49"/>
      <c r="C29" s="49"/>
      <c r="D29" s="49"/>
      <c r="E29" s="49"/>
      <c r="F29" s="49"/>
      <c r="G29" s="49"/>
    </row>
    <row r="30" spans="1:7" x14ac:dyDescent="0.3">
      <c r="A30" s="49" t="s">
        <v>76</v>
      </c>
      <c r="B30" s="49"/>
      <c r="C30" s="49"/>
      <c r="D30" s="49"/>
      <c r="E30" s="49"/>
      <c r="F30" s="49"/>
      <c r="G30" s="49"/>
    </row>
    <row r="31" spans="1:7" x14ac:dyDescent="0.3">
      <c r="A31" s="50" t="s">
        <v>77</v>
      </c>
      <c r="B31" s="50"/>
      <c r="C31" s="50"/>
      <c r="D31" s="50"/>
      <c r="E31" s="50"/>
      <c r="F31" s="50"/>
      <c r="G31" s="50"/>
    </row>
    <row r="34" spans="1:1" x14ac:dyDescent="0.3">
      <c r="A34" s="59" t="s">
        <v>172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"/>
  <sheetViews>
    <sheetView workbookViewId="0">
      <pane xSplit="1" topLeftCell="B1" activePane="topRight" state="frozen"/>
      <selection pane="topRight" activeCell="A12" sqref="A12"/>
    </sheetView>
  </sheetViews>
  <sheetFormatPr defaultColWidth="9" defaultRowHeight="14" x14ac:dyDescent="0.3"/>
  <cols>
    <col min="1" max="1" width="29.58203125" customWidth="1"/>
    <col min="2" max="2" width="12.58203125"/>
    <col min="3" max="3" width="10.33203125"/>
    <col min="4" max="9" width="12.58203125"/>
    <col min="10" max="11" width="10.33203125"/>
    <col min="12" max="17" width="12.58203125"/>
    <col min="18" max="18" width="9.33203125"/>
    <col min="19" max="19" width="12.58203125"/>
    <col min="20" max="20" width="10.33203125"/>
    <col min="21" max="21" width="12.58203125"/>
    <col min="22" max="22" width="10.33203125"/>
    <col min="23" max="24" width="12.58203125"/>
    <col min="25" max="25" width="9.33203125"/>
    <col min="26" max="30" width="12.58203125"/>
    <col min="31" max="31" width="9.33203125"/>
    <col min="32" max="32" width="12.58203125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24" t="s">
        <v>78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</row>
    <row r="3" spans="1:32" s="37" customFormat="1" x14ac:dyDescent="0.3">
      <c r="A3" s="40" t="s">
        <v>79</v>
      </c>
      <c r="B3" s="41"/>
      <c r="C3" s="42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2"/>
      <c r="U3" s="42"/>
      <c r="V3" s="41"/>
      <c r="W3" s="41"/>
      <c r="X3" s="41"/>
      <c r="Y3" s="41"/>
      <c r="Z3" s="42"/>
      <c r="AA3" s="41"/>
      <c r="AB3" s="41"/>
      <c r="AC3" s="41"/>
      <c r="AD3" s="41"/>
      <c r="AE3" s="41"/>
      <c r="AF3" s="41"/>
    </row>
    <row r="4" spans="1:32" x14ac:dyDescent="0.25">
      <c r="A4" s="24" t="s">
        <v>80</v>
      </c>
    </row>
    <row r="5" spans="1:32" s="38" customFormat="1" x14ac:dyDescent="0.25">
      <c r="A5" s="43" t="s">
        <v>81</v>
      </c>
    </row>
    <row r="6" spans="1:32" x14ac:dyDescent="0.3">
      <c r="A6" s="24" t="s">
        <v>82</v>
      </c>
      <c r="B6" s="44"/>
      <c r="C6" s="45"/>
      <c r="D6" s="45"/>
      <c r="E6" s="44"/>
      <c r="F6" s="44"/>
      <c r="G6" s="45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8"/>
      <c r="U6" s="48"/>
      <c r="V6" s="45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ht="15" customHeight="1" x14ac:dyDescent="0.3">
      <c r="A7" s="24" t="s">
        <v>37</v>
      </c>
      <c r="E7" s="46"/>
      <c r="F7" s="46"/>
      <c r="H7" s="46"/>
      <c r="I7" s="46"/>
      <c r="J7" s="46"/>
      <c r="K7" s="46"/>
      <c r="O7" s="46"/>
      <c r="Q7" s="46"/>
      <c r="U7" s="46"/>
      <c r="W7" s="46"/>
      <c r="X7" s="46"/>
      <c r="Z7" s="46"/>
      <c r="AA7" s="46"/>
      <c r="AB7" s="46"/>
      <c r="AC7" s="46"/>
      <c r="AD7" s="46"/>
      <c r="AE7" s="46"/>
      <c r="AF7" s="46"/>
    </row>
    <row r="8" spans="1:32" s="38" customFormat="1" x14ac:dyDescent="0.25">
      <c r="A8" s="43" t="s">
        <v>43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</row>
    <row r="9" spans="1:32" x14ac:dyDescent="0.3">
      <c r="A9" t="s">
        <v>83</v>
      </c>
    </row>
    <row r="12" spans="1:32" x14ac:dyDescent="0.3">
      <c r="A12" s="59" t="s">
        <v>172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8"/>
  <sheetViews>
    <sheetView workbookViewId="0">
      <selection activeCell="B19" sqref="B19"/>
    </sheetView>
  </sheetViews>
  <sheetFormatPr defaultColWidth="9" defaultRowHeight="14" x14ac:dyDescent="0.3"/>
  <sheetData>
    <row r="1" spans="1:7" x14ac:dyDescent="0.25">
      <c r="A1" s="24" t="s">
        <v>84</v>
      </c>
      <c r="B1" s="30" t="s">
        <v>85</v>
      </c>
      <c r="C1" s="30" t="s">
        <v>86</v>
      </c>
      <c r="D1" s="30" t="s">
        <v>87</v>
      </c>
      <c r="E1" s="30" t="s">
        <v>88</v>
      </c>
      <c r="F1" s="30" t="s">
        <v>89</v>
      </c>
      <c r="G1" s="30" t="s">
        <v>90</v>
      </c>
    </row>
    <row r="2" spans="1:7" x14ac:dyDescent="0.3">
      <c r="A2" s="25" t="s">
        <v>34</v>
      </c>
      <c r="B2" s="31">
        <v>0</v>
      </c>
      <c r="C2" s="31">
        <v>0</v>
      </c>
      <c r="D2" s="31">
        <v>0</v>
      </c>
      <c r="E2" s="31">
        <v>0</v>
      </c>
      <c r="F2" s="31">
        <v>0</v>
      </c>
      <c r="G2" s="31">
        <v>0</v>
      </c>
    </row>
    <row r="3" spans="1:7" x14ac:dyDescent="0.3">
      <c r="A3" s="25" t="s">
        <v>35</v>
      </c>
      <c r="B3" s="31">
        <v>50</v>
      </c>
      <c r="C3" s="31">
        <f t="shared" ref="C3:G8" si="0">C12/B12*B3</f>
        <v>71.428571428571402</v>
      </c>
      <c r="D3" s="31">
        <f t="shared" si="0"/>
        <v>92.857142857142904</v>
      </c>
      <c r="E3" s="31">
        <f t="shared" si="0"/>
        <v>114.28571428571399</v>
      </c>
      <c r="F3" s="31">
        <f t="shared" si="0"/>
        <v>135.71428571428601</v>
      </c>
      <c r="G3" s="31">
        <f t="shared" si="0"/>
        <v>135.71428571428601</v>
      </c>
    </row>
    <row r="4" spans="1:7" x14ac:dyDescent="0.3">
      <c r="A4" s="25" t="s">
        <v>36</v>
      </c>
      <c r="B4" s="31">
        <v>4000</v>
      </c>
      <c r="C4" s="31">
        <f t="shared" si="0"/>
        <v>5999.9850000000097</v>
      </c>
      <c r="D4" s="31">
        <f t="shared" si="0"/>
        <v>7999.9800000000296</v>
      </c>
      <c r="E4" s="31">
        <f t="shared" si="0"/>
        <v>9999.9750000000295</v>
      </c>
      <c r="F4" s="31">
        <f t="shared" si="0"/>
        <v>9999.9750000000295</v>
      </c>
      <c r="G4" s="31">
        <f t="shared" si="0"/>
        <v>9999.9750000000295</v>
      </c>
    </row>
    <row r="5" spans="1:7" x14ac:dyDescent="0.3">
      <c r="A5" s="25" t="s">
        <v>42</v>
      </c>
      <c r="B5" s="31">
        <v>5000</v>
      </c>
      <c r="C5" s="31">
        <f t="shared" si="0"/>
        <v>7500.0375000000004</v>
      </c>
      <c r="D5" s="31">
        <f t="shared" si="0"/>
        <v>10000.049999999999</v>
      </c>
      <c r="E5" s="31">
        <f t="shared" si="0"/>
        <v>12500.0625</v>
      </c>
      <c r="F5" s="31">
        <f t="shared" si="0"/>
        <v>12500.0625</v>
      </c>
      <c r="G5" s="31">
        <f t="shared" si="0"/>
        <v>12500.0625</v>
      </c>
    </row>
    <row r="6" spans="1:7" x14ac:dyDescent="0.3">
      <c r="A6" s="52" t="s">
        <v>91</v>
      </c>
      <c r="B6" s="31">
        <v>1600</v>
      </c>
      <c r="C6" s="31">
        <f t="shared" si="0"/>
        <v>2346.6666666666702</v>
      </c>
      <c r="D6" s="31">
        <f t="shared" si="0"/>
        <v>3093.3333333333298</v>
      </c>
      <c r="E6" s="31">
        <f t="shared" si="0"/>
        <v>3840</v>
      </c>
      <c r="F6" s="31">
        <f t="shared" si="0"/>
        <v>4586.6666666666597</v>
      </c>
      <c r="G6" s="31">
        <f t="shared" si="0"/>
        <v>5333.3333333333403</v>
      </c>
    </row>
    <row r="7" spans="1:7" x14ac:dyDescent="0.25">
      <c r="A7" s="24" t="s">
        <v>92</v>
      </c>
      <c r="B7" s="32">
        <v>200</v>
      </c>
      <c r="C7" s="31">
        <f t="shared" si="0"/>
        <v>200</v>
      </c>
      <c r="D7" s="31">
        <f t="shared" si="0"/>
        <v>200</v>
      </c>
      <c r="E7" s="31">
        <f t="shared" si="0"/>
        <v>200</v>
      </c>
      <c r="F7" s="31">
        <f t="shared" si="0"/>
        <v>200</v>
      </c>
      <c r="G7" s="31">
        <f t="shared" si="0"/>
        <v>200</v>
      </c>
    </row>
    <row r="8" spans="1:7" x14ac:dyDescent="0.25">
      <c r="A8" s="24" t="s">
        <v>93</v>
      </c>
      <c r="B8" s="30">
        <v>150</v>
      </c>
      <c r="C8" s="31">
        <f t="shared" si="0"/>
        <v>220</v>
      </c>
      <c r="D8" s="31">
        <f t="shared" si="0"/>
        <v>289.99999999999898</v>
      </c>
      <c r="E8" s="31">
        <f t="shared" si="0"/>
        <v>360</v>
      </c>
      <c r="F8" s="31">
        <f t="shared" si="0"/>
        <v>430</v>
      </c>
      <c r="G8" s="31">
        <f t="shared" si="0"/>
        <v>499.99999999999898</v>
      </c>
    </row>
    <row r="9" spans="1:7" x14ac:dyDescent="0.3">
      <c r="B9" s="30"/>
      <c r="C9" s="30"/>
      <c r="D9" s="30"/>
      <c r="E9" s="30"/>
      <c r="F9" s="30"/>
      <c r="G9" s="30"/>
    </row>
    <row r="10" spans="1:7" x14ac:dyDescent="0.3">
      <c r="A10" t="s">
        <v>2</v>
      </c>
      <c r="B10" s="30"/>
      <c r="C10" s="30"/>
      <c r="D10" s="30"/>
      <c r="E10" s="30"/>
      <c r="F10" s="30"/>
      <c r="G10" s="30"/>
    </row>
    <row r="11" spans="1:7" x14ac:dyDescent="0.3">
      <c r="A11" s="25" t="s">
        <v>34</v>
      </c>
      <c r="B11" s="31">
        <v>100</v>
      </c>
      <c r="C11" s="31">
        <v>150</v>
      </c>
      <c r="D11" s="31">
        <v>200</v>
      </c>
      <c r="E11" s="31">
        <v>200</v>
      </c>
      <c r="F11" s="31">
        <v>200</v>
      </c>
      <c r="G11" s="31">
        <v>200</v>
      </c>
    </row>
    <row r="12" spans="1:7" x14ac:dyDescent="0.3">
      <c r="A12" s="25" t="s">
        <v>35</v>
      </c>
      <c r="B12" s="31">
        <v>1050</v>
      </c>
      <c r="C12" s="31">
        <v>1500</v>
      </c>
      <c r="D12" s="31">
        <v>1950</v>
      </c>
      <c r="E12" s="31">
        <v>2400</v>
      </c>
      <c r="F12" s="31">
        <v>2850</v>
      </c>
      <c r="G12" s="31">
        <v>2850</v>
      </c>
    </row>
    <row r="13" spans="1:7" x14ac:dyDescent="0.3">
      <c r="A13" s="25" t="s">
        <v>36</v>
      </c>
      <c r="B13" s="31">
        <v>3000</v>
      </c>
      <c r="C13" s="31">
        <v>4499.9887500000104</v>
      </c>
      <c r="D13" s="31">
        <v>5999.9850000000197</v>
      </c>
      <c r="E13" s="31">
        <v>7499.9812500000198</v>
      </c>
      <c r="F13" s="31">
        <v>7499.9812500000198</v>
      </c>
      <c r="G13" s="31">
        <v>7499.9812500000198</v>
      </c>
    </row>
    <row r="14" spans="1:7" x14ac:dyDescent="0.3">
      <c r="A14" s="25" t="s">
        <v>42</v>
      </c>
      <c r="B14" s="31">
        <v>1000</v>
      </c>
      <c r="C14" s="31">
        <v>1500.0074999999999</v>
      </c>
      <c r="D14" s="31">
        <v>2000.01</v>
      </c>
      <c r="E14" s="31">
        <v>2500.0124999999998</v>
      </c>
      <c r="F14" s="31">
        <v>2500.0124999999998</v>
      </c>
      <c r="G14" s="31">
        <v>2500.0124999999998</v>
      </c>
    </row>
    <row r="15" spans="1:7" x14ac:dyDescent="0.3">
      <c r="A15" s="25" t="s">
        <v>91</v>
      </c>
      <c r="B15" s="31">
        <v>500</v>
      </c>
      <c r="C15" s="31">
        <v>733.33333333333496</v>
      </c>
      <c r="D15" s="31">
        <v>966.66666666666504</v>
      </c>
      <c r="E15" s="31">
        <v>1200</v>
      </c>
      <c r="F15" s="31">
        <v>1433.3333333333301</v>
      </c>
      <c r="G15" s="31">
        <v>1666.6666666666699</v>
      </c>
    </row>
    <row r="16" spans="1:7" x14ac:dyDescent="0.25">
      <c r="A16" s="24" t="s">
        <v>92</v>
      </c>
      <c r="B16" s="31">
        <v>210</v>
      </c>
      <c r="C16" s="31">
        <v>210</v>
      </c>
      <c r="D16" s="31">
        <v>210</v>
      </c>
      <c r="E16" s="31">
        <v>210</v>
      </c>
      <c r="F16" s="31">
        <v>210</v>
      </c>
      <c r="G16" s="31">
        <v>210</v>
      </c>
    </row>
    <row r="17" spans="1:7" x14ac:dyDescent="0.25">
      <c r="A17" s="24" t="s">
        <v>93</v>
      </c>
      <c r="B17" s="31">
        <v>10</v>
      </c>
      <c r="C17" s="31">
        <v>14.6666666666667</v>
      </c>
      <c r="D17" s="31">
        <v>19.3333333333333</v>
      </c>
      <c r="E17" s="31">
        <v>24</v>
      </c>
      <c r="F17" s="31">
        <v>28.6666666666667</v>
      </c>
      <c r="G17" s="31">
        <v>33.3333333333333</v>
      </c>
    </row>
    <row r="18" spans="1:7" x14ac:dyDescent="0.3">
      <c r="B18" s="30"/>
      <c r="C18" s="30"/>
      <c r="D18" s="30"/>
      <c r="E18" s="30"/>
      <c r="F18" s="30"/>
      <c r="G18" s="30"/>
    </row>
    <row r="19" spans="1:7" x14ac:dyDescent="0.3">
      <c r="A19" t="s">
        <v>3</v>
      </c>
      <c r="B19" s="30"/>
      <c r="C19" s="30"/>
      <c r="D19" s="30"/>
      <c r="E19" s="30"/>
      <c r="F19" s="30"/>
      <c r="G19" s="30"/>
    </row>
    <row r="20" spans="1:7" x14ac:dyDescent="0.3">
      <c r="A20" s="25" t="s">
        <v>34</v>
      </c>
      <c r="B20" s="30">
        <v>200</v>
      </c>
      <c r="C20" s="31">
        <v>300</v>
      </c>
      <c r="D20" s="31">
        <v>400</v>
      </c>
      <c r="E20" s="31">
        <v>400</v>
      </c>
      <c r="F20" s="31">
        <v>400</v>
      </c>
      <c r="G20" s="31">
        <v>400</v>
      </c>
    </row>
    <row r="21" spans="1:7" x14ac:dyDescent="0.3">
      <c r="A21" s="25" t="s">
        <v>35</v>
      </c>
      <c r="B21" s="30">
        <v>5000</v>
      </c>
      <c r="C21" s="31">
        <v>7142.8571428571504</v>
      </c>
      <c r="D21" s="31">
        <v>9285.7142857142808</v>
      </c>
      <c r="E21" s="31">
        <v>11428.5714285714</v>
      </c>
      <c r="F21" s="31">
        <v>13571.4285714286</v>
      </c>
      <c r="G21" s="31">
        <v>13571.4285714286</v>
      </c>
    </row>
    <row r="22" spans="1:7" x14ac:dyDescent="0.3">
      <c r="A22" s="25" t="s">
        <v>36</v>
      </c>
      <c r="B22" s="30">
        <v>20000</v>
      </c>
      <c r="C22" s="31">
        <v>29999.925000000101</v>
      </c>
      <c r="D22" s="31">
        <v>39999.900000000103</v>
      </c>
      <c r="E22" s="31">
        <v>49999.875000000102</v>
      </c>
      <c r="F22" s="31">
        <v>49999.875000000102</v>
      </c>
      <c r="G22" s="31">
        <v>49999.875000000102</v>
      </c>
    </row>
    <row r="23" spans="1:7" x14ac:dyDescent="0.3">
      <c r="A23" s="25" t="s">
        <v>42</v>
      </c>
      <c r="B23" s="30">
        <v>10000</v>
      </c>
      <c r="C23" s="31">
        <v>15000.075000000001</v>
      </c>
      <c r="D23" s="31">
        <v>20000.099999999999</v>
      </c>
      <c r="E23" s="31">
        <v>25000.125</v>
      </c>
      <c r="F23" s="31">
        <v>25000.125</v>
      </c>
      <c r="G23" s="31">
        <v>25000.125</v>
      </c>
    </row>
    <row r="24" spans="1:7" x14ac:dyDescent="0.3">
      <c r="A24" s="25" t="s">
        <v>91</v>
      </c>
      <c r="B24" s="30">
        <v>6000</v>
      </c>
      <c r="C24" s="31">
        <v>8800.0000000000091</v>
      </c>
      <c r="D24" s="31">
        <v>11600</v>
      </c>
      <c r="E24" s="31">
        <v>14400</v>
      </c>
      <c r="F24" s="31">
        <v>17200</v>
      </c>
      <c r="G24" s="31">
        <v>20000</v>
      </c>
    </row>
    <row r="25" spans="1:7" x14ac:dyDescent="0.25">
      <c r="A25" s="24" t="s">
        <v>92</v>
      </c>
      <c r="B25" s="30">
        <v>1000</v>
      </c>
      <c r="C25" s="31">
        <v>1000</v>
      </c>
      <c r="D25" s="31">
        <v>1000</v>
      </c>
      <c r="E25" s="31">
        <v>1000</v>
      </c>
      <c r="F25" s="31">
        <v>1000</v>
      </c>
      <c r="G25" s="31">
        <v>1000</v>
      </c>
    </row>
    <row r="26" spans="1:7" x14ac:dyDescent="0.25">
      <c r="A26" s="24" t="s">
        <v>93</v>
      </c>
      <c r="B26" s="30">
        <v>100</v>
      </c>
      <c r="C26" s="31">
        <v>146.666666666667</v>
      </c>
      <c r="D26" s="31">
        <v>193.333333333333</v>
      </c>
      <c r="E26" s="31">
        <v>240</v>
      </c>
      <c r="F26" s="31">
        <v>286.66666666666703</v>
      </c>
      <c r="G26" s="31">
        <v>333.33333333333297</v>
      </c>
    </row>
    <row r="27" spans="1:7" x14ac:dyDescent="0.3">
      <c r="B27" s="30"/>
      <c r="C27" s="30"/>
      <c r="D27" s="30"/>
      <c r="E27" s="30"/>
      <c r="F27" s="30"/>
      <c r="G27" s="30"/>
    </row>
    <row r="28" spans="1:7" x14ac:dyDescent="0.3">
      <c r="A28" t="s">
        <v>4</v>
      </c>
      <c r="B28" s="30"/>
      <c r="C28" s="30"/>
      <c r="D28" s="30"/>
      <c r="E28" s="30"/>
      <c r="F28" s="30"/>
      <c r="G28" s="30"/>
    </row>
    <row r="29" spans="1:7" x14ac:dyDescent="0.3">
      <c r="A29" s="25" t="s">
        <v>34</v>
      </c>
      <c r="B29" s="30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</row>
    <row r="30" spans="1:7" x14ac:dyDescent="0.3">
      <c r="A30" s="25" t="s">
        <v>35</v>
      </c>
      <c r="B30" s="30">
        <v>10260</v>
      </c>
      <c r="C30" s="31">
        <v>14657.142857142901</v>
      </c>
      <c r="D30" s="31">
        <v>19054.285714285699</v>
      </c>
      <c r="E30" s="31">
        <v>23451.428571428602</v>
      </c>
      <c r="F30" s="31">
        <v>27848.571428571398</v>
      </c>
      <c r="G30" s="31">
        <v>27848.571428571398</v>
      </c>
    </row>
    <row r="31" spans="1:7" x14ac:dyDescent="0.3">
      <c r="A31" s="25" t="s">
        <v>36</v>
      </c>
      <c r="B31" s="30">
        <v>24000</v>
      </c>
      <c r="C31" s="31">
        <v>35999.910000000098</v>
      </c>
      <c r="D31" s="31">
        <v>47999.880000000099</v>
      </c>
      <c r="E31" s="31">
        <v>59999.850000000202</v>
      </c>
      <c r="F31" s="31">
        <v>59999.850000000202</v>
      </c>
      <c r="G31" s="31">
        <v>59999.850000000202</v>
      </c>
    </row>
    <row r="32" spans="1:7" x14ac:dyDescent="0.3">
      <c r="A32" s="25" t="s">
        <v>42</v>
      </c>
      <c r="B32" s="30">
        <v>12000</v>
      </c>
      <c r="C32" s="31">
        <v>18000.09</v>
      </c>
      <c r="D32" s="31">
        <v>24000.12</v>
      </c>
      <c r="E32" s="31">
        <v>30000.15</v>
      </c>
      <c r="F32" s="31">
        <v>30000.15</v>
      </c>
      <c r="G32" s="31">
        <v>30000.15</v>
      </c>
    </row>
    <row r="33" spans="1:7" x14ac:dyDescent="0.3">
      <c r="A33" s="25" t="s">
        <v>91</v>
      </c>
      <c r="B33" s="30">
        <v>4900</v>
      </c>
      <c r="C33" s="31">
        <v>7186.6666666666797</v>
      </c>
      <c r="D33" s="31">
        <v>9473.3333333333194</v>
      </c>
      <c r="E33" s="31">
        <v>11760</v>
      </c>
      <c r="F33" s="31">
        <v>14046.666666666701</v>
      </c>
      <c r="G33" s="31">
        <v>16333.333333333299</v>
      </c>
    </row>
    <row r="34" spans="1:7" x14ac:dyDescent="0.25">
      <c r="A34" s="24" t="s">
        <v>92</v>
      </c>
      <c r="B34" s="30">
        <v>360</v>
      </c>
      <c r="C34" s="31">
        <v>360</v>
      </c>
      <c r="D34" s="31">
        <v>360</v>
      </c>
      <c r="E34" s="31">
        <v>360</v>
      </c>
      <c r="F34" s="31">
        <v>360</v>
      </c>
      <c r="G34" s="31">
        <v>360</v>
      </c>
    </row>
    <row r="35" spans="1:7" x14ac:dyDescent="0.25">
      <c r="A35" s="24" t="s">
        <v>93</v>
      </c>
      <c r="B35" s="30">
        <v>100</v>
      </c>
      <c r="C35" s="31">
        <v>146.666666666667</v>
      </c>
      <c r="D35" s="31">
        <v>193.333333333333</v>
      </c>
      <c r="E35" s="31">
        <v>240</v>
      </c>
      <c r="F35" s="31">
        <v>286.66666666666703</v>
      </c>
      <c r="G35" s="31">
        <v>333.33333333333297</v>
      </c>
    </row>
    <row r="36" spans="1:7" x14ac:dyDescent="0.3">
      <c r="B36" s="30"/>
      <c r="C36" s="30"/>
      <c r="D36" s="30"/>
      <c r="E36" s="30"/>
      <c r="F36" s="30"/>
      <c r="G36" s="30"/>
    </row>
    <row r="37" spans="1:7" x14ac:dyDescent="0.3">
      <c r="A37" t="s">
        <v>5</v>
      </c>
      <c r="B37" s="30"/>
      <c r="C37" s="30"/>
      <c r="D37" s="30"/>
      <c r="E37" s="30"/>
      <c r="F37" s="30"/>
      <c r="G37" s="30"/>
    </row>
    <row r="38" spans="1:7" x14ac:dyDescent="0.3">
      <c r="A38" s="25" t="s">
        <v>34</v>
      </c>
      <c r="B38" s="30">
        <v>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</row>
    <row r="39" spans="1:7" x14ac:dyDescent="0.3">
      <c r="A39" s="25" t="s">
        <v>35</v>
      </c>
      <c r="B39" s="30">
        <v>52000</v>
      </c>
      <c r="C39" s="31">
        <v>74285.714285714406</v>
      </c>
      <c r="D39" s="31">
        <v>96571.428571428507</v>
      </c>
      <c r="E39" s="31">
        <v>118857.142857143</v>
      </c>
      <c r="F39" s="31">
        <v>141142.85714285701</v>
      </c>
      <c r="G39" s="31">
        <v>141142.85714285701</v>
      </c>
    </row>
    <row r="40" spans="1:7" x14ac:dyDescent="0.3">
      <c r="A40" s="25" t="s">
        <v>36</v>
      </c>
      <c r="B40" s="30">
        <v>34000</v>
      </c>
      <c r="C40" s="31">
        <v>50999.8725000001</v>
      </c>
      <c r="D40" s="31">
        <v>67999.830000000205</v>
      </c>
      <c r="E40" s="31">
        <v>84999.787500000195</v>
      </c>
      <c r="F40" s="31">
        <v>84999.787500000195</v>
      </c>
      <c r="G40" s="31">
        <v>84999.787500000195</v>
      </c>
    </row>
    <row r="41" spans="1:7" x14ac:dyDescent="0.3">
      <c r="A41" s="25" t="s">
        <v>42</v>
      </c>
      <c r="B41" s="30">
        <v>0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</row>
    <row r="42" spans="1:7" x14ac:dyDescent="0.3">
      <c r="A42" s="25" t="s">
        <v>91</v>
      </c>
      <c r="B42" s="30">
        <v>3000</v>
      </c>
      <c r="C42" s="31">
        <v>4400.00000000001</v>
      </c>
      <c r="D42" s="31">
        <v>5799.99999999999</v>
      </c>
      <c r="E42" s="31">
        <v>7200</v>
      </c>
      <c r="F42" s="31">
        <v>8600.0000000000091</v>
      </c>
      <c r="G42" s="31">
        <v>9999.9999999999909</v>
      </c>
    </row>
    <row r="43" spans="1:7" x14ac:dyDescent="0.25">
      <c r="A43" s="24" t="s">
        <v>92</v>
      </c>
      <c r="B43" s="30">
        <v>550</v>
      </c>
      <c r="C43" s="31">
        <v>550</v>
      </c>
      <c r="D43" s="31">
        <v>550</v>
      </c>
      <c r="E43" s="31">
        <v>550</v>
      </c>
      <c r="F43" s="31">
        <v>550</v>
      </c>
      <c r="G43" s="31">
        <v>550</v>
      </c>
    </row>
    <row r="44" spans="1:7" x14ac:dyDescent="0.25">
      <c r="A44" s="24" t="s">
        <v>93</v>
      </c>
      <c r="B44" s="30">
        <v>1200</v>
      </c>
      <c r="C44" s="31">
        <v>1760</v>
      </c>
      <c r="D44" s="31">
        <v>2320</v>
      </c>
      <c r="E44" s="31">
        <v>2880</v>
      </c>
      <c r="F44" s="31">
        <v>3440</v>
      </c>
      <c r="G44" s="31">
        <v>4000</v>
      </c>
    </row>
    <row r="45" spans="1:7" x14ac:dyDescent="0.3">
      <c r="B45" s="30"/>
      <c r="C45" s="30"/>
      <c r="D45" s="30"/>
      <c r="E45" s="30"/>
      <c r="F45" s="30"/>
      <c r="G45" s="30"/>
    </row>
    <row r="46" spans="1:7" x14ac:dyDescent="0.3">
      <c r="A46" t="s">
        <v>6</v>
      </c>
      <c r="B46" s="30"/>
      <c r="C46" s="30"/>
      <c r="D46" s="30"/>
      <c r="E46" s="30"/>
      <c r="F46" s="30"/>
      <c r="G46" s="30"/>
    </row>
    <row r="47" spans="1:7" x14ac:dyDescent="0.3">
      <c r="A47" s="25" t="s">
        <v>34</v>
      </c>
      <c r="B47" s="30">
        <v>1000</v>
      </c>
      <c r="C47" s="31">
        <v>1500</v>
      </c>
      <c r="D47" s="31">
        <v>2000</v>
      </c>
      <c r="E47" s="31">
        <v>2000</v>
      </c>
      <c r="F47" s="31">
        <v>2000</v>
      </c>
      <c r="G47" s="31">
        <v>2000</v>
      </c>
    </row>
    <row r="48" spans="1:7" x14ac:dyDescent="0.3">
      <c r="A48" s="25" t="s">
        <v>35</v>
      </c>
      <c r="B48" s="30">
        <v>10000</v>
      </c>
      <c r="C48" s="31">
        <v>14285.714285714301</v>
      </c>
      <c r="D48" s="31">
        <v>18571.428571428602</v>
      </c>
      <c r="E48" s="31">
        <v>22857.142857142899</v>
      </c>
      <c r="F48" s="31">
        <v>27142.857142857101</v>
      </c>
      <c r="G48" s="31">
        <v>27142.857142857101</v>
      </c>
    </row>
    <row r="49" spans="1:7" x14ac:dyDescent="0.3">
      <c r="A49" s="25" t="s">
        <v>36</v>
      </c>
      <c r="B49" s="30">
        <v>1500</v>
      </c>
      <c r="C49" s="31">
        <v>2249.9943750000102</v>
      </c>
      <c r="D49" s="31">
        <v>2999.9925000000098</v>
      </c>
      <c r="E49" s="31">
        <v>3749.9906250000099</v>
      </c>
      <c r="F49" s="31">
        <v>3749.9906250000099</v>
      </c>
      <c r="G49" s="31">
        <v>3749.9906250000099</v>
      </c>
    </row>
    <row r="50" spans="1:7" x14ac:dyDescent="0.3">
      <c r="A50" s="25" t="s">
        <v>42</v>
      </c>
      <c r="B50" s="30">
        <v>300</v>
      </c>
      <c r="C50" s="31">
        <v>450.00225</v>
      </c>
      <c r="D50" s="31">
        <v>600.00300000000004</v>
      </c>
      <c r="E50" s="31">
        <v>750.00374999999997</v>
      </c>
      <c r="F50" s="31">
        <v>750.00374999999997</v>
      </c>
      <c r="G50" s="31">
        <v>750.00374999999997</v>
      </c>
    </row>
    <row r="51" spans="1:7" x14ac:dyDescent="0.3">
      <c r="A51" s="25" t="s">
        <v>91</v>
      </c>
      <c r="B51" s="30">
        <v>1000</v>
      </c>
      <c r="C51" s="31">
        <v>1466.6666666666699</v>
      </c>
      <c r="D51" s="31">
        <v>1933.3333333333301</v>
      </c>
      <c r="E51" s="31">
        <v>2400</v>
      </c>
      <c r="F51" s="31">
        <v>2866.6666666666702</v>
      </c>
      <c r="G51" s="31">
        <v>3333.3333333333298</v>
      </c>
    </row>
    <row r="52" spans="1:7" x14ac:dyDescent="0.25">
      <c r="A52" s="24" t="s">
        <v>92</v>
      </c>
      <c r="B52" s="30">
        <v>800</v>
      </c>
      <c r="C52" s="31">
        <v>800</v>
      </c>
      <c r="D52" s="31">
        <v>800</v>
      </c>
      <c r="E52" s="31">
        <v>800</v>
      </c>
      <c r="F52" s="31">
        <v>800</v>
      </c>
      <c r="G52" s="31">
        <v>800</v>
      </c>
    </row>
    <row r="53" spans="1:7" x14ac:dyDescent="0.25">
      <c r="A53" s="24" t="s">
        <v>93</v>
      </c>
      <c r="B53" s="30">
        <v>1800</v>
      </c>
      <c r="C53" s="31">
        <v>2640</v>
      </c>
      <c r="D53" s="31">
        <v>3479.99999999999</v>
      </c>
      <c r="E53" s="31">
        <v>4320</v>
      </c>
      <c r="F53" s="31">
        <v>5160</v>
      </c>
      <c r="G53" s="31">
        <v>5999.99999999999</v>
      </c>
    </row>
    <row r="54" spans="1:7" x14ac:dyDescent="0.3">
      <c r="B54" s="30"/>
      <c r="C54" s="30"/>
      <c r="D54" s="30"/>
      <c r="E54" s="30"/>
      <c r="F54" s="30"/>
      <c r="G54" s="30"/>
    </row>
    <row r="55" spans="1:7" x14ac:dyDescent="0.3">
      <c r="A55" t="s">
        <v>7</v>
      </c>
      <c r="B55" s="30"/>
      <c r="C55" s="30"/>
      <c r="D55" s="30"/>
      <c r="E55" s="30"/>
      <c r="F55" s="30"/>
      <c r="G55" s="30"/>
    </row>
    <row r="56" spans="1:7" x14ac:dyDescent="0.3">
      <c r="A56" s="25" t="s">
        <v>34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</row>
    <row r="57" spans="1:7" x14ac:dyDescent="0.3">
      <c r="A57" s="25" t="s">
        <v>35</v>
      </c>
      <c r="B57" s="30">
        <v>16230</v>
      </c>
      <c r="C57" s="31">
        <v>23185.714285714301</v>
      </c>
      <c r="D57" s="31">
        <v>30141.428571428602</v>
      </c>
      <c r="E57" s="31">
        <v>37097.142857142899</v>
      </c>
      <c r="F57" s="31">
        <v>44052.857142857101</v>
      </c>
      <c r="G57" s="31">
        <v>44052.857142857101</v>
      </c>
    </row>
    <row r="58" spans="1:7" x14ac:dyDescent="0.3">
      <c r="A58" s="25" t="s">
        <v>36</v>
      </c>
      <c r="B58" s="30">
        <v>4320</v>
      </c>
      <c r="C58" s="31">
        <v>6479.98380000002</v>
      </c>
      <c r="D58" s="31">
        <v>8639.97840000002</v>
      </c>
      <c r="E58" s="31">
        <v>10799.973</v>
      </c>
      <c r="F58" s="31">
        <v>10799.973</v>
      </c>
      <c r="G58" s="31">
        <v>10799.973</v>
      </c>
    </row>
    <row r="59" spans="1:7" x14ac:dyDescent="0.3">
      <c r="A59" s="25" t="s">
        <v>42</v>
      </c>
      <c r="B59" s="30">
        <v>0</v>
      </c>
      <c r="C59" s="31">
        <v>0</v>
      </c>
      <c r="D59" s="31">
        <v>0</v>
      </c>
      <c r="E59" s="31">
        <v>0</v>
      </c>
      <c r="F59" s="31">
        <v>0</v>
      </c>
      <c r="G59" s="31">
        <v>0</v>
      </c>
    </row>
    <row r="60" spans="1:7" x14ac:dyDescent="0.3">
      <c r="A60" s="25" t="s">
        <v>91</v>
      </c>
      <c r="B60" s="30">
        <v>500</v>
      </c>
      <c r="C60" s="31">
        <v>733.33333333333496</v>
      </c>
      <c r="D60" s="31">
        <v>966.66666666666504</v>
      </c>
      <c r="E60" s="31">
        <v>1200</v>
      </c>
      <c r="F60" s="31">
        <v>1433.3333333333301</v>
      </c>
      <c r="G60" s="31">
        <v>1666.6666666666699</v>
      </c>
    </row>
    <row r="61" spans="1:7" x14ac:dyDescent="0.25">
      <c r="A61" s="24" t="s">
        <v>92</v>
      </c>
      <c r="B61" s="30">
        <v>800</v>
      </c>
      <c r="C61" s="31">
        <v>800</v>
      </c>
      <c r="D61" s="31">
        <v>800</v>
      </c>
      <c r="E61" s="31">
        <v>800</v>
      </c>
      <c r="F61" s="31">
        <v>800</v>
      </c>
      <c r="G61" s="31">
        <v>800</v>
      </c>
    </row>
    <row r="62" spans="1:7" x14ac:dyDescent="0.25">
      <c r="A62" s="24" t="s">
        <v>93</v>
      </c>
      <c r="B62" s="30">
        <v>1400</v>
      </c>
      <c r="C62" s="31">
        <v>2053.3333333333399</v>
      </c>
      <c r="D62" s="31">
        <v>2706.6666666666601</v>
      </c>
      <c r="E62" s="31">
        <v>3360</v>
      </c>
      <c r="F62" s="31">
        <v>4013.3333333333399</v>
      </c>
      <c r="G62" s="31">
        <v>4666.6666666666597</v>
      </c>
    </row>
    <row r="63" spans="1:7" x14ac:dyDescent="0.3">
      <c r="B63" s="30"/>
      <c r="C63" s="30"/>
      <c r="D63" s="30"/>
      <c r="E63" s="30"/>
      <c r="F63" s="30"/>
      <c r="G63" s="30"/>
    </row>
    <row r="64" spans="1:7" x14ac:dyDescent="0.3">
      <c r="A64" t="s">
        <v>8</v>
      </c>
      <c r="B64" s="30"/>
      <c r="C64" s="30"/>
      <c r="D64" s="30"/>
      <c r="E64" s="30"/>
      <c r="F64" s="30"/>
      <c r="G64" s="30"/>
    </row>
    <row r="65" spans="1:7" x14ac:dyDescent="0.3">
      <c r="A65" s="25" t="s">
        <v>34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</row>
    <row r="66" spans="1:7" x14ac:dyDescent="0.3">
      <c r="A66" s="25" t="s">
        <v>35</v>
      </c>
      <c r="B66" s="30">
        <v>10000</v>
      </c>
      <c r="C66" s="31">
        <v>14285.714285714301</v>
      </c>
      <c r="D66" s="31">
        <v>18571.428571428602</v>
      </c>
      <c r="E66" s="31">
        <v>22857.142857142899</v>
      </c>
      <c r="F66" s="31">
        <v>27142.857142857101</v>
      </c>
      <c r="G66" s="31">
        <v>27142.857142857101</v>
      </c>
    </row>
    <row r="67" spans="1:7" x14ac:dyDescent="0.3">
      <c r="A67" s="25" t="s">
        <v>36</v>
      </c>
      <c r="B67" s="30">
        <v>5500</v>
      </c>
      <c r="C67" s="31">
        <v>8249.9793750000208</v>
      </c>
      <c r="D67" s="31">
        <v>10999.9725</v>
      </c>
      <c r="E67" s="31">
        <v>13749.965625000001</v>
      </c>
      <c r="F67" s="31">
        <v>13749.965625000001</v>
      </c>
      <c r="G67" s="31">
        <v>13749.965625000001</v>
      </c>
    </row>
    <row r="68" spans="1:7" x14ac:dyDescent="0.3">
      <c r="A68" s="25" t="s">
        <v>42</v>
      </c>
      <c r="B68" s="30">
        <v>0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</row>
    <row r="69" spans="1:7" x14ac:dyDescent="0.3">
      <c r="A69" s="25" t="s">
        <v>91</v>
      </c>
      <c r="B69" s="30">
        <v>500</v>
      </c>
      <c r="C69" s="31">
        <v>733.33333333333496</v>
      </c>
      <c r="D69" s="31">
        <v>966.66666666666504</v>
      </c>
      <c r="E69" s="31">
        <v>1200</v>
      </c>
      <c r="F69" s="31">
        <v>1433.3333333333301</v>
      </c>
      <c r="G69" s="31">
        <v>1666.6666666666699</v>
      </c>
    </row>
    <row r="70" spans="1:7" x14ac:dyDescent="0.25">
      <c r="A70" s="24" t="s">
        <v>92</v>
      </c>
      <c r="B70" s="30">
        <v>2200</v>
      </c>
      <c r="C70" s="31">
        <v>2200</v>
      </c>
      <c r="D70" s="31">
        <v>2200</v>
      </c>
      <c r="E70" s="31">
        <v>2200</v>
      </c>
      <c r="F70" s="31">
        <v>2200</v>
      </c>
      <c r="G70" s="31">
        <v>2200</v>
      </c>
    </row>
    <row r="71" spans="1:7" x14ac:dyDescent="0.25">
      <c r="A71" s="24" t="s">
        <v>93</v>
      </c>
      <c r="B71" s="30">
        <v>1300</v>
      </c>
      <c r="C71" s="31">
        <v>1906.6666666666699</v>
      </c>
      <c r="D71" s="31">
        <v>2513.3333333333298</v>
      </c>
      <c r="E71" s="31">
        <v>3120</v>
      </c>
      <c r="F71" s="31">
        <v>3726.6666666666702</v>
      </c>
      <c r="G71" s="31">
        <v>4333.3333333333303</v>
      </c>
    </row>
    <row r="72" spans="1:7" x14ac:dyDescent="0.3">
      <c r="B72" s="30"/>
      <c r="C72" s="30"/>
      <c r="D72" s="30"/>
      <c r="E72" s="30"/>
      <c r="F72" s="30"/>
      <c r="G72" s="30"/>
    </row>
    <row r="73" spans="1:7" x14ac:dyDescent="0.3">
      <c r="A73" t="s">
        <v>9</v>
      </c>
      <c r="B73" s="30"/>
      <c r="C73" s="30"/>
      <c r="D73" s="30"/>
      <c r="E73" s="30"/>
      <c r="F73" s="30"/>
      <c r="G73" s="30"/>
    </row>
    <row r="74" spans="1:7" x14ac:dyDescent="0.3">
      <c r="A74" s="25" t="s">
        <v>34</v>
      </c>
      <c r="B74" s="30">
        <v>600</v>
      </c>
      <c r="C74" s="30">
        <v>900</v>
      </c>
      <c r="D74" s="30">
        <v>1200</v>
      </c>
      <c r="E74" s="30">
        <v>1200</v>
      </c>
      <c r="F74" s="30">
        <v>1200</v>
      </c>
      <c r="G74" s="30">
        <v>1200</v>
      </c>
    </row>
    <row r="75" spans="1:7" x14ac:dyDescent="0.3">
      <c r="A75" s="25" t="s">
        <v>35</v>
      </c>
      <c r="B75" s="30">
        <v>600</v>
      </c>
      <c r="C75" s="31">
        <v>857.14285714285802</v>
      </c>
      <c r="D75" s="31">
        <v>1114.2857142857099</v>
      </c>
      <c r="E75" s="31">
        <v>1371.42857142857</v>
      </c>
      <c r="F75" s="31">
        <v>1628.57142857143</v>
      </c>
      <c r="G75" s="31">
        <v>1628.57142857143</v>
      </c>
    </row>
    <row r="76" spans="1:7" x14ac:dyDescent="0.3">
      <c r="A76" s="25" t="s">
        <v>36</v>
      </c>
      <c r="B76" s="30">
        <v>100</v>
      </c>
      <c r="C76" s="31">
        <v>149.99962500000001</v>
      </c>
      <c r="D76" s="31">
        <v>199.99950000000001</v>
      </c>
      <c r="E76" s="31">
        <v>249.99937500000101</v>
      </c>
      <c r="F76" s="31">
        <v>249.99937500000101</v>
      </c>
      <c r="G76" s="31">
        <v>249.99937500000101</v>
      </c>
    </row>
    <row r="77" spans="1:7" x14ac:dyDescent="0.3">
      <c r="A77" s="25" t="s">
        <v>42</v>
      </c>
      <c r="B77" s="30">
        <v>15000</v>
      </c>
      <c r="C77" s="31">
        <v>22500.112499999999</v>
      </c>
      <c r="D77" s="31">
        <v>30000.15</v>
      </c>
      <c r="E77" s="31">
        <v>37500.1875</v>
      </c>
      <c r="F77" s="31">
        <v>37500.1875</v>
      </c>
      <c r="G77" s="31">
        <v>37500.1875</v>
      </c>
    </row>
    <row r="78" spans="1:7" x14ac:dyDescent="0.3">
      <c r="A78" s="25" t="s">
        <v>91</v>
      </c>
      <c r="B78" s="30">
        <v>4000</v>
      </c>
      <c r="C78" s="31">
        <v>5866.6666666666797</v>
      </c>
      <c r="D78" s="31">
        <v>7733.3333333333203</v>
      </c>
      <c r="E78" s="31">
        <v>9600</v>
      </c>
      <c r="F78" s="31">
        <v>11466.666666666701</v>
      </c>
      <c r="G78" s="31">
        <v>13333.333333333299</v>
      </c>
    </row>
    <row r="79" spans="1:7" x14ac:dyDescent="0.25">
      <c r="A79" s="24" t="s">
        <v>92</v>
      </c>
      <c r="B79" s="30">
        <v>200</v>
      </c>
      <c r="C79" s="31">
        <v>200</v>
      </c>
      <c r="D79" s="31">
        <v>200</v>
      </c>
      <c r="E79" s="31">
        <v>200</v>
      </c>
      <c r="F79" s="31">
        <v>200</v>
      </c>
      <c r="G79" s="31">
        <v>200</v>
      </c>
    </row>
    <row r="80" spans="1:7" x14ac:dyDescent="0.25">
      <c r="A80" s="24" t="s">
        <v>93</v>
      </c>
      <c r="B80" s="30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</row>
    <row r="81" spans="1:7" x14ac:dyDescent="0.3">
      <c r="B81" s="30"/>
      <c r="C81" s="30"/>
      <c r="D81" s="30"/>
      <c r="E81" s="30"/>
      <c r="F81" s="30"/>
      <c r="G81" s="30"/>
    </row>
    <row r="82" spans="1:7" x14ac:dyDescent="0.3">
      <c r="A82" t="s">
        <v>10</v>
      </c>
      <c r="B82" s="30"/>
      <c r="C82" s="30"/>
      <c r="D82" s="30"/>
      <c r="E82" s="30"/>
      <c r="F82" s="30"/>
      <c r="G82" s="30"/>
    </row>
    <row r="83" spans="1:7" x14ac:dyDescent="0.3">
      <c r="A83" s="25" t="s">
        <v>34</v>
      </c>
      <c r="B83" s="30">
        <v>10000</v>
      </c>
      <c r="C83" s="31">
        <v>15000</v>
      </c>
      <c r="D83" s="31">
        <v>20000</v>
      </c>
      <c r="E83" s="31">
        <v>20000</v>
      </c>
      <c r="F83" s="31">
        <v>20000</v>
      </c>
      <c r="G83" s="31">
        <v>20000</v>
      </c>
    </row>
    <row r="84" spans="1:7" x14ac:dyDescent="0.3">
      <c r="A84" s="25" t="s">
        <v>35</v>
      </c>
      <c r="B84" s="30">
        <v>12500</v>
      </c>
      <c r="C84" s="31">
        <v>17857.142857142899</v>
      </c>
      <c r="D84" s="31">
        <v>23214.285714285699</v>
      </c>
      <c r="E84" s="31">
        <v>28571.428571428602</v>
      </c>
      <c r="F84" s="31">
        <v>33928.571428571398</v>
      </c>
      <c r="G84" s="31">
        <v>33928.571428571398</v>
      </c>
    </row>
    <row r="85" spans="1:7" x14ac:dyDescent="0.3">
      <c r="A85" s="25" t="s">
        <v>36</v>
      </c>
      <c r="B85" s="30">
        <v>4000</v>
      </c>
      <c r="C85" s="31">
        <v>5999.9850000000197</v>
      </c>
      <c r="D85" s="31">
        <v>7999.9800000000196</v>
      </c>
      <c r="E85" s="31">
        <v>9999.9750000000204</v>
      </c>
      <c r="F85" s="31">
        <v>9999.9750000000204</v>
      </c>
      <c r="G85" s="31">
        <v>9999.9750000000204</v>
      </c>
    </row>
    <row r="86" spans="1:7" x14ac:dyDescent="0.3">
      <c r="A86" s="25" t="s">
        <v>42</v>
      </c>
      <c r="B86" s="30">
        <v>20000</v>
      </c>
      <c r="C86" s="31">
        <v>30000.15</v>
      </c>
      <c r="D86" s="31">
        <v>40000.199999999997</v>
      </c>
      <c r="E86" s="31">
        <v>50000.25</v>
      </c>
      <c r="F86" s="31">
        <v>50000.25</v>
      </c>
      <c r="G86" s="31">
        <v>50000.25</v>
      </c>
    </row>
    <row r="87" spans="1:7" x14ac:dyDescent="0.3">
      <c r="A87" s="25" t="s">
        <v>91</v>
      </c>
      <c r="B87" s="30">
        <v>8000</v>
      </c>
      <c r="C87" s="31">
        <v>11733.333333333399</v>
      </c>
      <c r="D87" s="31">
        <v>15466.666666666601</v>
      </c>
      <c r="E87" s="31">
        <v>19200</v>
      </c>
      <c r="F87" s="31">
        <v>22933.333333333401</v>
      </c>
      <c r="G87" s="31">
        <v>26666.666666666599</v>
      </c>
    </row>
    <row r="88" spans="1:7" x14ac:dyDescent="0.25">
      <c r="A88" s="24" t="s">
        <v>92</v>
      </c>
      <c r="B88" s="30">
        <v>1600</v>
      </c>
      <c r="C88" s="31">
        <v>1600</v>
      </c>
      <c r="D88" s="31">
        <v>1600</v>
      </c>
      <c r="E88" s="31">
        <v>1600</v>
      </c>
      <c r="F88" s="31">
        <v>1600</v>
      </c>
      <c r="G88" s="31">
        <v>1600</v>
      </c>
    </row>
    <row r="89" spans="1:7" x14ac:dyDescent="0.25">
      <c r="A89" s="24" t="s">
        <v>93</v>
      </c>
      <c r="B89" s="30">
        <v>1600</v>
      </c>
      <c r="C89" s="31">
        <v>2346.6666666666702</v>
      </c>
      <c r="D89" s="31">
        <v>3093.3333333333298</v>
      </c>
      <c r="E89" s="31">
        <v>3840</v>
      </c>
      <c r="F89" s="31">
        <v>4586.6666666666697</v>
      </c>
      <c r="G89" s="31">
        <v>5333.3333333333303</v>
      </c>
    </row>
    <row r="90" spans="1:7" x14ac:dyDescent="0.3">
      <c r="B90" s="30"/>
      <c r="C90" s="30"/>
      <c r="D90" s="30"/>
      <c r="E90" s="30"/>
      <c r="F90" s="30"/>
      <c r="G90" s="30"/>
    </row>
    <row r="91" spans="1:7" x14ac:dyDescent="0.3">
      <c r="A91" t="s">
        <v>11</v>
      </c>
      <c r="B91" s="30"/>
      <c r="C91" s="30"/>
      <c r="D91" s="30"/>
      <c r="E91" s="30"/>
      <c r="F91" s="30"/>
      <c r="G91" s="30"/>
    </row>
    <row r="92" spans="1:7" x14ac:dyDescent="0.3">
      <c r="A92" s="25" t="s">
        <v>34</v>
      </c>
      <c r="B92" s="30">
        <v>5000</v>
      </c>
      <c r="C92" s="31">
        <v>7500</v>
      </c>
      <c r="D92" s="31">
        <v>10000</v>
      </c>
      <c r="E92" s="31">
        <v>10000</v>
      </c>
      <c r="F92" s="31">
        <v>10000</v>
      </c>
      <c r="G92" s="31">
        <v>10000</v>
      </c>
    </row>
    <row r="93" spans="1:7" x14ac:dyDescent="0.3">
      <c r="A93" s="25" t="s">
        <v>35</v>
      </c>
      <c r="B93" s="30">
        <v>3000</v>
      </c>
      <c r="C93" s="31">
        <v>4285.7142857142899</v>
      </c>
      <c r="D93" s="31">
        <v>5571.4285714285697</v>
      </c>
      <c r="E93" s="31">
        <v>6857.1428571428596</v>
      </c>
      <c r="F93" s="31">
        <v>8142.8571428571404</v>
      </c>
      <c r="G93" s="31">
        <v>8142.8571428571404</v>
      </c>
    </row>
    <row r="94" spans="1:7" x14ac:dyDescent="0.3">
      <c r="A94" s="25" t="s">
        <v>36</v>
      </c>
      <c r="B94" s="30">
        <v>12000</v>
      </c>
      <c r="C94" s="31">
        <v>17999.955000000002</v>
      </c>
      <c r="D94" s="31">
        <v>23999.940000000101</v>
      </c>
      <c r="E94" s="31">
        <v>29999.925000000101</v>
      </c>
      <c r="F94" s="31">
        <v>29999.925000000101</v>
      </c>
      <c r="G94" s="31">
        <v>29999.925000000101</v>
      </c>
    </row>
    <row r="95" spans="1:7" x14ac:dyDescent="0.3">
      <c r="A95" s="25" t="s">
        <v>42</v>
      </c>
      <c r="B95" s="30">
        <v>15000</v>
      </c>
      <c r="C95" s="31">
        <v>22500.112499999999</v>
      </c>
      <c r="D95" s="31">
        <v>30000.15</v>
      </c>
      <c r="E95" s="31">
        <v>37500.1875</v>
      </c>
      <c r="F95" s="31">
        <v>37500.1875</v>
      </c>
      <c r="G95" s="31">
        <v>37500.1875</v>
      </c>
    </row>
    <row r="96" spans="1:7" x14ac:dyDescent="0.3">
      <c r="A96" s="25" t="s">
        <v>91</v>
      </c>
      <c r="B96" s="30">
        <v>5000</v>
      </c>
      <c r="C96" s="31">
        <v>7333.3333333333403</v>
      </c>
      <c r="D96" s="31">
        <v>9666.6666666666497</v>
      </c>
      <c r="E96" s="31">
        <v>12000</v>
      </c>
      <c r="F96" s="31">
        <v>14333.333333333299</v>
      </c>
      <c r="G96" s="31">
        <v>16666.666666666701</v>
      </c>
    </row>
    <row r="97" spans="1:7" x14ac:dyDescent="0.25">
      <c r="A97" s="24" t="s">
        <v>92</v>
      </c>
      <c r="B97" s="30">
        <v>600</v>
      </c>
      <c r="C97" s="31">
        <v>600</v>
      </c>
      <c r="D97" s="31">
        <v>600</v>
      </c>
      <c r="E97" s="31">
        <v>600</v>
      </c>
      <c r="F97" s="31">
        <v>600</v>
      </c>
      <c r="G97" s="31">
        <v>600</v>
      </c>
    </row>
    <row r="98" spans="1:7" x14ac:dyDescent="0.25">
      <c r="A98" s="24" t="s">
        <v>93</v>
      </c>
      <c r="B98" s="30">
        <v>3400</v>
      </c>
      <c r="C98" s="31">
        <v>4986.6666666666797</v>
      </c>
      <c r="D98" s="31">
        <v>6573.3333333333203</v>
      </c>
      <c r="E98" s="31">
        <v>8160</v>
      </c>
      <c r="F98" s="31">
        <v>9746.6666666666697</v>
      </c>
      <c r="G98" s="31">
        <v>11333.333333333299</v>
      </c>
    </row>
    <row r="99" spans="1:7" x14ac:dyDescent="0.3">
      <c r="B99" s="30"/>
      <c r="C99" s="30"/>
      <c r="D99" s="30"/>
      <c r="E99" s="30"/>
      <c r="F99" s="30"/>
      <c r="G99" s="30"/>
    </row>
    <row r="100" spans="1:7" x14ac:dyDescent="0.3">
      <c r="A100" t="s">
        <v>12</v>
      </c>
      <c r="B100" s="30"/>
      <c r="C100" s="30"/>
      <c r="D100" s="30"/>
      <c r="E100" s="30"/>
      <c r="F100" s="30"/>
      <c r="G100" s="30"/>
    </row>
    <row r="101" spans="1:7" x14ac:dyDescent="0.3">
      <c r="A101" s="25" t="s">
        <v>34</v>
      </c>
      <c r="B101" s="30">
        <v>0</v>
      </c>
      <c r="C101" s="31">
        <v>0</v>
      </c>
      <c r="D101" s="31">
        <v>0</v>
      </c>
      <c r="E101" s="31">
        <v>0</v>
      </c>
      <c r="F101" s="31">
        <v>0</v>
      </c>
      <c r="G101" s="31">
        <v>0</v>
      </c>
    </row>
    <row r="102" spans="1:7" x14ac:dyDescent="0.3">
      <c r="A102" s="25" t="s">
        <v>35</v>
      </c>
      <c r="B102" s="30">
        <v>3880</v>
      </c>
      <c r="C102" s="31">
        <v>5542.8571428571504</v>
      </c>
      <c r="D102" s="31">
        <v>7205.7142857142799</v>
      </c>
      <c r="E102" s="31">
        <v>8868.5714285714294</v>
      </c>
      <c r="F102" s="31">
        <v>10531.4285714286</v>
      </c>
      <c r="G102" s="31">
        <v>10531.4285714286</v>
      </c>
    </row>
    <row r="103" spans="1:7" x14ac:dyDescent="0.3">
      <c r="A103" s="25" t="s">
        <v>36</v>
      </c>
      <c r="B103" s="30">
        <v>8800</v>
      </c>
      <c r="C103" s="31">
        <v>13199.967000000001</v>
      </c>
      <c r="D103" s="31">
        <v>17599.955999999998</v>
      </c>
      <c r="E103" s="31">
        <v>21999.945000000102</v>
      </c>
      <c r="F103" s="31">
        <v>21999.945000000102</v>
      </c>
      <c r="G103" s="31">
        <v>21999.945000000102</v>
      </c>
    </row>
    <row r="104" spans="1:7" x14ac:dyDescent="0.3">
      <c r="A104" s="25" t="s">
        <v>42</v>
      </c>
      <c r="B104" s="30">
        <v>5500</v>
      </c>
      <c r="C104" s="31">
        <v>8250.0412500000002</v>
      </c>
      <c r="D104" s="31">
        <v>11000.055</v>
      </c>
      <c r="E104" s="31">
        <v>13750.06875</v>
      </c>
      <c r="F104" s="31">
        <v>13750.06875</v>
      </c>
      <c r="G104" s="31">
        <v>13750.06875</v>
      </c>
    </row>
    <row r="105" spans="1:7" x14ac:dyDescent="0.3">
      <c r="A105" s="25" t="s">
        <v>91</v>
      </c>
      <c r="B105" s="30">
        <v>6000</v>
      </c>
      <c r="C105" s="31">
        <v>8800.0000000000091</v>
      </c>
      <c r="D105" s="31">
        <v>11600</v>
      </c>
      <c r="E105" s="31">
        <v>14400</v>
      </c>
      <c r="F105" s="31">
        <v>17200</v>
      </c>
      <c r="G105" s="31">
        <v>20000</v>
      </c>
    </row>
    <row r="106" spans="1:7" x14ac:dyDescent="0.25">
      <c r="A106" s="24" t="s">
        <v>92</v>
      </c>
      <c r="B106" s="30">
        <v>570</v>
      </c>
      <c r="C106" s="31">
        <v>570</v>
      </c>
      <c r="D106" s="31">
        <v>570</v>
      </c>
      <c r="E106" s="31">
        <v>570</v>
      </c>
      <c r="F106" s="31">
        <v>570</v>
      </c>
      <c r="G106" s="31">
        <v>570</v>
      </c>
    </row>
    <row r="107" spans="1:7" x14ac:dyDescent="0.25">
      <c r="A107" s="24" t="s">
        <v>93</v>
      </c>
      <c r="B107" s="30">
        <v>1500</v>
      </c>
      <c r="C107" s="31">
        <v>2200</v>
      </c>
      <c r="D107" s="31">
        <v>2900</v>
      </c>
      <c r="E107" s="31">
        <v>3600</v>
      </c>
      <c r="F107" s="31">
        <v>4300</v>
      </c>
      <c r="G107" s="31">
        <v>4999.99999999999</v>
      </c>
    </row>
    <row r="108" spans="1:7" x14ac:dyDescent="0.3">
      <c r="B108" s="30"/>
      <c r="C108" s="30"/>
      <c r="D108" s="30"/>
      <c r="E108" s="30"/>
      <c r="F108" s="30"/>
      <c r="G108" s="30"/>
    </row>
    <row r="109" spans="1:7" x14ac:dyDescent="0.3">
      <c r="A109" t="s">
        <v>13</v>
      </c>
      <c r="B109" s="30"/>
      <c r="C109" s="30"/>
      <c r="D109" s="30"/>
      <c r="E109" s="30"/>
      <c r="F109" s="30"/>
      <c r="G109" s="30"/>
    </row>
    <row r="110" spans="1:7" x14ac:dyDescent="0.3">
      <c r="A110" s="25" t="s">
        <v>34</v>
      </c>
      <c r="B110" s="30">
        <v>8000</v>
      </c>
      <c r="C110" s="30">
        <v>12000</v>
      </c>
      <c r="D110" s="30">
        <v>16000</v>
      </c>
      <c r="E110" s="30">
        <v>16000</v>
      </c>
      <c r="F110" s="30">
        <v>16000</v>
      </c>
      <c r="G110" s="30">
        <v>16000</v>
      </c>
    </row>
    <row r="111" spans="1:7" x14ac:dyDescent="0.3">
      <c r="A111" s="25" t="s">
        <v>35</v>
      </c>
      <c r="B111" s="30">
        <v>500</v>
      </c>
      <c r="C111" s="31">
        <v>714.28571428571502</v>
      </c>
      <c r="D111" s="31">
        <v>928.57142857142799</v>
      </c>
      <c r="E111" s="31">
        <v>1142.8571428571399</v>
      </c>
      <c r="F111" s="31">
        <v>1357.1428571428601</v>
      </c>
      <c r="G111" s="31">
        <v>1357.1428571428601</v>
      </c>
    </row>
    <row r="112" spans="1:7" x14ac:dyDescent="0.3">
      <c r="A112" s="25" t="s">
        <v>36</v>
      </c>
      <c r="B112" s="30">
        <v>7000</v>
      </c>
      <c r="C112" s="31">
        <v>10499.973749999999</v>
      </c>
      <c r="D112" s="31">
        <v>13999.965</v>
      </c>
      <c r="E112" s="31">
        <v>17499.956249999999</v>
      </c>
      <c r="F112" s="31">
        <v>17499.956249999999</v>
      </c>
      <c r="G112" s="31">
        <v>17499.956249999999</v>
      </c>
    </row>
    <row r="113" spans="1:7" x14ac:dyDescent="0.3">
      <c r="A113" s="25" t="s">
        <v>42</v>
      </c>
      <c r="B113" s="30">
        <v>4000</v>
      </c>
      <c r="C113" s="31">
        <v>6000.03</v>
      </c>
      <c r="D113" s="31">
        <v>8000.04</v>
      </c>
      <c r="E113" s="31">
        <v>10000.049999999999</v>
      </c>
      <c r="F113" s="31">
        <v>10000.049999999999</v>
      </c>
      <c r="G113" s="31">
        <v>10000.049999999999</v>
      </c>
    </row>
    <row r="114" spans="1:7" x14ac:dyDescent="0.3">
      <c r="A114" s="25" t="s">
        <v>91</v>
      </c>
      <c r="B114" s="30">
        <v>2000</v>
      </c>
      <c r="C114" s="31">
        <v>2933.3333333333399</v>
      </c>
      <c r="D114" s="31">
        <v>3866.6666666666601</v>
      </c>
      <c r="E114" s="31">
        <v>4800</v>
      </c>
      <c r="F114" s="31">
        <v>5733.3333333333403</v>
      </c>
      <c r="G114" s="31">
        <v>6666.6666666666597</v>
      </c>
    </row>
    <row r="115" spans="1:7" x14ac:dyDescent="0.25">
      <c r="A115" s="24" t="s">
        <v>92</v>
      </c>
      <c r="B115" s="30">
        <v>700</v>
      </c>
      <c r="C115" s="31">
        <v>700</v>
      </c>
      <c r="D115" s="31">
        <v>700</v>
      </c>
      <c r="E115" s="31">
        <v>700</v>
      </c>
      <c r="F115" s="31">
        <v>700</v>
      </c>
      <c r="G115" s="31">
        <v>700</v>
      </c>
    </row>
    <row r="116" spans="1:7" x14ac:dyDescent="0.25">
      <c r="A116" s="24" t="s">
        <v>93</v>
      </c>
      <c r="B116" s="30">
        <v>1600</v>
      </c>
      <c r="C116" s="31">
        <v>2346.6666666666702</v>
      </c>
      <c r="D116" s="31">
        <v>3093.3333333333298</v>
      </c>
      <c r="E116" s="31">
        <v>3840</v>
      </c>
      <c r="F116" s="31">
        <v>4586.6666666666697</v>
      </c>
      <c r="G116" s="31">
        <v>5333.3333333333303</v>
      </c>
    </row>
    <row r="117" spans="1:7" x14ac:dyDescent="0.3">
      <c r="B117" s="30"/>
      <c r="C117" s="30"/>
      <c r="D117" s="30"/>
      <c r="E117" s="30"/>
      <c r="F117" s="30"/>
      <c r="G117" s="30"/>
    </row>
    <row r="118" spans="1:7" x14ac:dyDescent="0.3">
      <c r="A118" t="s">
        <v>14</v>
      </c>
      <c r="B118" s="30"/>
      <c r="C118" s="30"/>
      <c r="D118" s="30"/>
      <c r="E118" s="30"/>
      <c r="F118" s="30"/>
      <c r="G118" s="30"/>
    </row>
    <row r="119" spans="1:7" x14ac:dyDescent="0.3">
      <c r="A119" s="25" t="s">
        <v>34</v>
      </c>
      <c r="B119" s="30">
        <v>0</v>
      </c>
      <c r="C119" s="30">
        <v>0</v>
      </c>
      <c r="D119" s="30">
        <v>0</v>
      </c>
      <c r="E119" s="30">
        <v>0</v>
      </c>
      <c r="F119" s="30">
        <v>0</v>
      </c>
      <c r="G119" s="30">
        <v>0</v>
      </c>
    </row>
    <row r="120" spans="1:7" x14ac:dyDescent="0.3">
      <c r="A120" s="25" t="s">
        <v>35</v>
      </c>
      <c r="B120" s="30">
        <v>2000</v>
      </c>
      <c r="C120" s="31">
        <v>2857.1428571428601</v>
      </c>
      <c r="D120" s="31">
        <v>3714.2857142857101</v>
      </c>
      <c r="E120" s="31">
        <v>4571.4285714285697</v>
      </c>
      <c r="F120" s="31">
        <v>5428.5714285714203</v>
      </c>
      <c r="G120" s="31">
        <v>5428.5714285714203</v>
      </c>
    </row>
    <row r="121" spans="1:7" x14ac:dyDescent="0.3">
      <c r="A121" s="25" t="s">
        <v>36</v>
      </c>
      <c r="B121" s="30">
        <v>10000</v>
      </c>
      <c r="C121" s="31">
        <v>14999.9625</v>
      </c>
      <c r="D121" s="31">
        <v>19999.95</v>
      </c>
      <c r="E121" s="31">
        <v>24999.937500000098</v>
      </c>
      <c r="F121" s="31">
        <v>24999.937500000098</v>
      </c>
      <c r="G121" s="31">
        <v>24999.937500000098</v>
      </c>
    </row>
    <row r="122" spans="1:7" x14ac:dyDescent="0.3">
      <c r="A122" s="25" t="s">
        <v>42</v>
      </c>
      <c r="B122" s="30">
        <v>6000</v>
      </c>
      <c r="C122" s="31">
        <v>9000.0450000000001</v>
      </c>
      <c r="D122" s="31">
        <v>12000.06</v>
      </c>
      <c r="E122" s="31">
        <v>15000.075000000001</v>
      </c>
      <c r="F122" s="31">
        <v>15000.075000000001</v>
      </c>
      <c r="G122" s="31">
        <v>15000.075000000001</v>
      </c>
    </row>
    <row r="123" spans="1:7" x14ac:dyDescent="0.3">
      <c r="A123" s="25" t="s">
        <v>91</v>
      </c>
      <c r="B123" s="30">
        <v>2000</v>
      </c>
      <c r="C123" s="31">
        <v>2933.3333333333399</v>
      </c>
      <c r="D123" s="31">
        <v>3866.6666666666601</v>
      </c>
      <c r="E123" s="31">
        <v>4800</v>
      </c>
      <c r="F123" s="31">
        <v>5733.3333333333403</v>
      </c>
      <c r="G123" s="31">
        <v>6666.6666666666597</v>
      </c>
    </row>
    <row r="124" spans="1:7" x14ac:dyDescent="0.25">
      <c r="A124" s="24" t="s">
        <v>92</v>
      </c>
      <c r="B124" s="30">
        <v>400</v>
      </c>
      <c r="C124" s="31">
        <v>400</v>
      </c>
      <c r="D124" s="31">
        <v>400</v>
      </c>
      <c r="E124" s="31">
        <v>400</v>
      </c>
      <c r="F124" s="31">
        <v>400</v>
      </c>
      <c r="G124" s="31">
        <v>400</v>
      </c>
    </row>
    <row r="125" spans="1:7" x14ac:dyDescent="0.25">
      <c r="A125" s="24" t="s">
        <v>93</v>
      </c>
      <c r="B125" s="30">
        <v>2000</v>
      </c>
      <c r="C125" s="31">
        <v>2933.3333333333399</v>
      </c>
      <c r="D125" s="31">
        <v>3866.6666666666601</v>
      </c>
      <c r="E125" s="31">
        <v>4800</v>
      </c>
      <c r="F125" s="31">
        <v>5733.3333333333403</v>
      </c>
      <c r="G125" s="31">
        <v>6666.6666666666597</v>
      </c>
    </row>
    <row r="126" spans="1:7" x14ac:dyDescent="0.3">
      <c r="B126" s="30"/>
      <c r="C126" s="30"/>
      <c r="D126" s="30"/>
      <c r="E126" s="30"/>
      <c r="F126" s="30"/>
      <c r="G126" s="30"/>
    </row>
    <row r="127" spans="1:7" x14ac:dyDescent="0.3">
      <c r="A127" t="s">
        <v>15</v>
      </c>
      <c r="B127" s="30"/>
      <c r="C127" s="30"/>
      <c r="D127" s="30"/>
      <c r="E127" s="30"/>
      <c r="F127" s="30"/>
      <c r="G127" s="30"/>
    </row>
    <row r="128" spans="1:7" x14ac:dyDescent="0.3">
      <c r="A128" s="25" t="s">
        <v>34</v>
      </c>
      <c r="B128" s="30">
        <v>10000</v>
      </c>
      <c r="C128" s="30">
        <v>15000</v>
      </c>
      <c r="D128" s="30">
        <v>20000</v>
      </c>
      <c r="E128" s="30">
        <v>20000</v>
      </c>
      <c r="F128" s="30">
        <v>20000</v>
      </c>
      <c r="G128" s="30">
        <v>20000</v>
      </c>
    </row>
    <row r="129" spans="1:7" x14ac:dyDescent="0.3">
      <c r="A129" s="25" t="s">
        <v>35</v>
      </c>
      <c r="B129" s="30">
        <v>10000</v>
      </c>
      <c r="C129" s="31">
        <v>14285.714285714301</v>
      </c>
      <c r="D129" s="31">
        <v>18571.428571428602</v>
      </c>
      <c r="E129" s="31">
        <v>22857.142857142899</v>
      </c>
      <c r="F129" s="31">
        <v>27142.857142857101</v>
      </c>
      <c r="G129" s="31">
        <v>27142.857142857101</v>
      </c>
    </row>
    <row r="130" spans="1:7" x14ac:dyDescent="0.3">
      <c r="A130" s="25" t="s">
        <v>36</v>
      </c>
      <c r="B130" s="30">
        <v>20000</v>
      </c>
      <c r="C130" s="31">
        <v>29999.925000000101</v>
      </c>
      <c r="D130" s="31">
        <v>39999.900000000103</v>
      </c>
      <c r="E130" s="31">
        <v>49999.875000000102</v>
      </c>
      <c r="F130" s="31">
        <v>49999.875000000102</v>
      </c>
      <c r="G130" s="31">
        <v>49999.875000000102</v>
      </c>
    </row>
    <row r="131" spans="1:7" x14ac:dyDescent="0.3">
      <c r="A131" s="25" t="s">
        <v>42</v>
      </c>
      <c r="B131" s="30">
        <v>30000</v>
      </c>
      <c r="C131" s="31">
        <v>45000.224999999999</v>
      </c>
      <c r="D131" s="31">
        <v>60000.3</v>
      </c>
      <c r="E131" s="31">
        <v>75000.375</v>
      </c>
      <c r="F131" s="31">
        <v>75000.375</v>
      </c>
      <c r="G131" s="31">
        <v>75000.375</v>
      </c>
    </row>
    <row r="132" spans="1:7" x14ac:dyDescent="0.3">
      <c r="A132" s="25" t="s">
        <v>91</v>
      </c>
      <c r="B132" s="30">
        <v>10000</v>
      </c>
      <c r="C132" s="31">
        <v>14666.666666666701</v>
      </c>
      <c r="D132" s="31">
        <v>19333.333333333299</v>
      </c>
      <c r="E132" s="31">
        <v>24000</v>
      </c>
      <c r="F132" s="31">
        <v>28666.666666666701</v>
      </c>
      <c r="G132" s="31">
        <v>33333.333333333299</v>
      </c>
    </row>
    <row r="133" spans="1:7" x14ac:dyDescent="0.25">
      <c r="A133" s="24" t="s">
        <v>92</v>
      </c>
      <c r="B133" s="30">
        <v>1000</v>
      </c>
      <c r="C133" s="31">
        <v>1000</v>
      </c>
      <c r="D133" s="31">
        <v>1000</v>
      </c>
      <c r="E133" s="31">
        <v>1000</v>
      </c>
      <c r="F133" s="31">
        <v>1000</v>
      </c>
      <c r="G133" s="31">
        <v>1000</v>
      </c>
    </row>
    <row r="134" spans="1:7" x14ac:dyDescent="0.25">
      <c r="A134" s="24" t="s">
        <v>93</v>
      </c>
      <c r="B134" s="30">
        <v>100</v>
      </c>
      <c r="C134" s="31">
        <v>146.666666666667</v>
      </c>
      <c r="D134" s="31">
        <v>193.333333333333</v>
      </c>
      <c r="E134" s="31">
        <v>240</v>
      </c>
      <c r="F134" s="31">
        <v>286.66666666666703</v>
      </c>
      <c r="G134" s="31">
        <v>333.33333333333297</v>
      </c>
    </row>
    <row r="135" spans="1:7" x14ac:dyDescent="0.3">
      <c r="B135" s="30"/>
      <c r="C135" s="30"/>
      <c r="D135" s="30"/>
      <c r="E135" s="30"/>
      <c r="F135" s="30"/>
      <c r="G135" s="30"/>
    </row>
    <row r="136" spans="1:7" x14ac:dyDescent="0.3">
      <c r="A136" t="s">
        <v>16</v>
      </c>
      <c r="B136" s="30"/>
      <c r="C136" s="30"/>
      <c r="D136" s="30"/>
      <c r="E136" s="30"/>
      <c r="F136" s="30"/>
      <c r="G136" s="30"/>
    </row>
    <row r="137" spans="1:7" x14ac:dyDescent="0.3">
      <c r="A137" s="25" t="s">
        <v>34</v>
      </c>
      <c r="B137" s="30">
        <v>0</v>
      </c>
      <c r="C137" s="30">
        <v>0</v>
      </c>
      <c r="D137" s="30">
        <v>0</v>
      </c>
      <c r="E137" s="30">
        <v>0</v>
      </c>
      <c r="F137" s="30">
        <v>0</v>
      </c>
      <c r="G137" s="30">
        <v>0</v>
      </c>
    </row>
    <row r="138" spans="1:7" x14ac:dyDescent="0.3">
      <c r="A138" s="25" t="s">
        <v>35</v>
      </c>
      <c r="B138" s="30">
        <v>1000</v>
      </c>
      <c r="C138" s="31">
        <v>1428.57142857143</v>
      </c>
      <c r="D138" s="31">
        <v>1857.1428571428601</v>
      </c>
      <c r="E138" s="31">
        <v>2285.7142857142899</v>
      </c>
      <c r="F138" s="31">
        <v>2714.2857142857101</v>
      </c>
      <c r="G138" s="31">
        <v>2714.2857142857101</v>
      </c>
    </row>
    <row r="139" spans="1:7" x14ac:dyDescent="0.3">
      <c r="A139" s="25" t="s">
        <v>36</v>
      </c>
      <c r="B139" s="30">
        <v>10000</v>
      </c>
      <c r="C139" s="31">
        <v>14999.9625</v>
      </c>
      <c r="D139" s="31">
        <v>19999.95</v>
      </c>
      <c r="E139" s="31">
        <v>24999.937500000098</v>
      </c>
      <c r="F139" s="31">
        <v>24999.937500000098</v>
      </c>
      <c r="G139" s="31">
        <v>24999.937500000098</v>
      </c>
    </row>
    <row r="140" spans="1:7" x14ac:dyDescent="0.3">
      <c r="A140" s="25" t="s">
        <v>42</v>
      </c>
      <c r="B140" s="30">
        <v>10000</v>
      </c>
      <c r="C140" s="31">
        <v>15000.075000000001</v>
      </c>
      <c r="D140" s="31">
        <v>20000.099999999999</v>
      </c>
      <c r="E140" s="31">
        <v>25000.125</v>
      </c>
      <c r="F140" s="31">
        <v>25000.125</v>
      </c>
      <c r="G140" s="31">
        <v>25000.125</v>
      </c>
    </row>
    <row r="141" spans="1:7" x14ac:dyDescent="0.3">
      <c r="A141" s="25" t="s">
        <v>91</v>
      </c>
      <c r="B141" s="30">
        <v>10000</v>
      </c>
      <c r="C141" s="31">
        <v>14666.666666666701</v>
      </c>
      <c r="D141" s="31">
        <v>19333.333333333299</v>
      </c>
      <c r="E141" s="31">
        <v>24000</v>
      </c>
      <c r="F141" s="31">
        <v>28666.666666666701</v>
      </c>
      <c r="G141" s="31">
        <v>33333.333333333299</v>
      </c>
    </row>
    <row r="142" spans="1:7" x14ac:dyDescent="0.25">
      <c r="A142" s="24" t="s">
        <v>92</v>
      </c>
      <c r="B142" s="30">
        <v>1500</v>
      </c>
      <c r="C142" s="31">
        <v>1500</v>
      </c>
      <c r="D142" s="31">
        <v>1500</v>
      </c>
      <c r="E142" s="31">
        <v>1500</v>
      </c>
      <c r="F142" s="31">
        <v>1500</v>
      </c>
      <c r="G142" s="31">
        <v>1500</v>
      </c>
    </row>
    <row r="143" spans="1:7" x14ac:dyDescent="0.25">
      <c r="A143" s="24" t="s">
        <v>93</v>
      </c>
      <c r="B143" s="30">
        <v>3000</v>
      </c>
      <c r="C143" s="31">
        <v>4400.00000000001</v>
      </c>
      <c r="D143" s="31">
        <v>5799.99999999999</v>
      </c>
      <c r="E143" s="31">
        <v>7200</v>
      </c>
      <c r="F143" s="31">
        <v>8600</v>
      </c>
      <c r="G143" s="31">
        <v>9999.9999999999909</v>
      </c>
    </row>
    <row r="144" spans="1:7" x14ac:dyDescent="0.3">
      <c r="B144" s="30"/>
      <c r="C144" s="30"/>
      <c r="D144" s="30"/>
      <c r="E144" s="30"/>
      <c r="F144" s="30"/>
      <c r="G144" s="30"/>
    </row>
    <row r="145" spans="1:7" x14ac:dyDescent="0.3">
      <c r="A145" t="s">
        <v>17</v>
      </c>
      <c r="B145" s="30"/>
      <c r="C145" s="30"/>
      <c r="D145" s="30"/>
      <c r="E145" s="30"/>
      <c r="F145" s="30"/>
      <c r="G145" s="30"/>
    </row>
    <row r="146" spans="1:7" x14ac:dyDescent="0.3">
      <c r="A146" s="25" t="s">
        <v>34</v>
      </c>
      <c r="B146" s="30">
        <v>0</v>
      </c>
      <c r="C146" s="30">
        <v>0</v>
      </c>
      <c r="D146" s="30">
        <v>0</v>
      </c>
      <c r="E146" s="30">
        <v>0</v>
      </c>
      <c r="F146" s="30">
        <v>0</v>
      </c>
      <c r="G146" s="30">
        <v>0</v>
      </c>
    </row>
    <row r="147" spans="1:7" x14ac:dyDescent="0.3">
      <c r="A147" s="25" t="s">
        <v>35</v>
      </c>
      <c r="B147" s="30">
        <v>5000</v>
      </c>
      <c r="C147" s="31">
        <v>7142.8571428571504</v>
      </c>
      <c r="D147" s="31">
        <v>9285.7142857142808</v>
      </c>
      <c r="E147" s="31">
        <v>11428.5714285714</v>
      </c>
      <c r="F147" s="31">
        <v>13571.4285714286</v>
      </c>
      <c r="G147" s="31">
        <v>13571.4285714286</v>
      </c>
    </row>
    <row r="148" spans="1:7" x14ac:dyDescent="0.3">
      <c r="A148" s="25" t="s">
        <v>36</v>
      </c>
      <c r="B148" s="30">
        <v>10000</v>
      </c>
      <c r="C148" s="31">
        <v>14999.9625</v>
      </c>
      <c r="D148" s="31">
        <v>19999.95</v>
      </c>
      <c r="E148" s="31">
        <v>24999.937500000098</v>
      </c>
      <c r="F148" s="31">
        <v>24999.937500000098</v>
      </c>
      <c r="G148" s="31">
        <v>24999.937500000098</v>
      </c>
    </row>
    <row r="149" spans="1:7" x14ac:dyDescent="0.3">
      <c r="A149" s="25" t="s">
        <v>42</v>
      </c>
      <c r="B149" s="30">
        <v>5000</v>
      </c>
      <c r="C149" s="31">
        <v>7500.0375000000004</v>
      </c>
      <c r="D149" s="31">
        <v>10000.049999999999</v>
      </c>
      <c r="E149" s="31">
        <v>12500.0625</v>
      </c>
      <c r="F149" s="31">
        <v>12500.0625</v>
      </c>
      <c r="G149" s="31">
        <v>12500.0625</v>
      </c>
    </row>
    <row r="150" spans="1:7" x14ac:dyDescent="0.3">
      <c r="A150" s="25" t="s">
        <v>91</v>
      </c>
      <c r="B150" s="30">
        <v>600</v>
      </c>
      <c r="C150" s="31">
        <v>880.00000000000102</v>
      </c>
      <c r="D150" s="31">
        <v>1160</v>
      </c>
      <c r="E150" s="31">
        <v>1440</v>
      </c>
      <c r="F150" s="31">
        <v>1720</v>
      </c>
      <c r="G150" s="31">
        <v>2000</v>
      </c>
    </row>
    <row r="151" spans="1:7" x14ac:dyDescent="0.25">
      <c r="A151" s="24" t="s">
        <v>92</v>
      </c>
      <c r="B151" s="30">
        <v>500</v>
      </c>
      <c r="C151" s="31">
        <v>500</v>
      </c>
      <c r="D151" s="31">
        <v>500</v>
      </c>
      <c r="E151" s="31">
        <v>500</v>
      </c>
      <c r="F151" s="31">
        <v>500</v>
      </c>
      <c r="G151" s="31">
        <v>500</v>
      </c>
    </row>
    <row r="152" spans="1:7" x14ac:dyDescent="0.25">
      <c r="A152" s="24" t="s">
        <v>93</v>
      </c>
      <c r="B152" s="30">
        <v>500</v>
      </c>
      <c r="C152" s="31">
        <v>733.33333333333496</v>
      </c>
      <c r="D152" s="31">
        <v>966.66666666666504</v>
      </c>
      <c r="E152" s="31">
        <v>1200</v>
      </c>
      <c r="F152" s="31">
        <v>1433.3333333333301</v>
      </c>
      <c r="G152" s="31">
        <v>1666.6666666666699</v>
      </c>
    </row>
    <row r="153" spans="1:7" x14ac:dyDescent="0.3">
      <c r="B153" s="30"/>
      <c r="C153" s="30"/>
      <c r="D153" s="30"/>
      <c r="E153" s="30"/>
      <c r="F153" s="30"/>
      <c r="G153" s="30"/>
    </row>
    <row r="154" spans="1:7" x14ac:dyDescent="0.3">
      <c r="A154" t="s">
        <v>18</v>
      </c>
      <c r="B154" s="30"/>
      <c r="C154" s="30"/>
      <c r="D154" s="30"/>
      <c r="E154" s="30"/>
      <c r="F154" s="30"/>
      <c r="G154" s="30"/>
    </row>
    <row r="155" spans="1:7" x14ac:dyDescent="0.3">
      <c r="A155" s="25" t="s">
        <v>34</v>
      </c>
      <c r="B155" s="30">
        <v>0</v>
      </c>
      <c r="C155" s="30">
        <v>0</v>
      </c>
      <c r="D155" s="30">
        <v>0</v>
      </c>
      <c r="E155" s="30">
        <v>0</v>
      </c>
      <c r="F155" s="30">
        <v>0</v>
      </c>
      <c r="G155" s="30">
        <v>0</v>
      </c>
    </row>
    <row r="156" spans="1:7" x14ac:dyDescent="0.3">
      <c r="A156" s="25" t="s">
        <v>35</v>
      </c>
      <c r="B156" s="30">
        <v>6000</v>
      </c>
      <c r="C156" s="31">
        <v>8571.4285714285797</v>
      </c>
      <c r="D156" s="31">
        <v>11142.857142857099</v>
      </c>
      <c r="E156" s="31">
        <v>13714.285714285699</v>
      </c>
      <c r="F156" s="31">
        <v>16285.714285714301</v>
      </c>
      <c r="G156" s="31">
        <v>16285.714285714301</v>
      </c>
    </row>
    <row r="157" spans="1:7" x14ac:dyDescent="0.3">
      <c r="A157" s="25" t="s">
        <v>36</v>
      </c>
      <c r="B157" s="30">
        <v>10000</v>
      </c>
      <c r="C157" s="31">
        <v>14999.9625</v>
      </c>
      <c r="D157" s="31">
        <v>19999.95</v>
      </c>
      <c r="E157" s="31">
        <v>24999.937500000098</v>
      </c>
      <c r="F157" s="31">
        <v>24999.937500000098</v>
      </c>
      <c r="G157" s="31">
        <v>24999.937500000098</v>
      </c>
    </row>
    <row r="158" spans="1:7" x14ac:dyDescent="0.3">
      <c r="A158" s="25" t="s">
        <v>42</v>
      </c>
      <c r="B158" s="30">
        <v>3000</v>
      </c>
      <c r="C158" s="31">
        <v>4500.0225</v>
      </c>
      <c r="D158" s="31">
        <v>6000.03</v>
      </c>
      <c r="E158" s="31">
        <v>7500.0375000000004</v>
      </c>
      <c r="F158" s="31">
        <v>7500.0375000000004</v>
      </c>
      <c r="G158" s="31">
        <v>7500.0375000000004</v>
      </c>
    </row>
    <row r="159" spans="1:7" x14ac:dyDescent="0.3">
      <c r="A159" s="25" t="s">
        <v>91</v>
      </c>
      <c r="B159" s="30">
        <v>2000</v>
      </c>
      <c r="C159" s="31">
        <v>2933.3333333333399</v>
      </c>
      <c r="D159" s="31">
        <v>3866.6666666666601</v>
      </c>
      <c r="E159" s="31">
        <v>4800</v>
      </c>
      <c r="F159" s="31">
        <v>5733.3333333333403</v>
      </c>
      <c r="G159" s="31">
        <v>6666.6666666666597</v>
      </c>
    </row>
    <row r="160" spans="1:7" x14ac:dyDescent="0.25">
      <c r="A160" s="24" t="s">
        <v>92</v>
      </c>
      <c r="B160" s="30">
        <v>2000</v>
      </c>
      <c r="C160" s="31">
        <v>2000</v>
      </c>
      <c r="D160" s="31">
        <v>2000</v>
      </c>
      <c r="E160" s="31">
        <v>2000</v>
      </c>
      <c r="F160" s="31">
        <v>2000</v>
      </c>
      <c r="G160" s="31">
        <v>2000</v>
      </c>
    </row>
    <row r="161" spans="1:7" x14ac:dyDescent="0.25">
      <c r="A161" s="24" t="s">
        <v>93</v>
      </c>
      <c r="B161" s="30">
        <v>1000</v>
      </c>
      <c r="C161" s="31">
        <v>1466.6666666666699</v>
      </c>
      <c r="D161" s="31">
        <v>1933.3333333333301</v>
      </c>
      <c r="E161" s="31">
        <v>2400</v>
      </c>
      <c r="F161" s="31">
        <v>2866.6666666666702</v>
      </c>
      <c r="G161" s="31">
        <v>3333.3333333333298</v>
      </c>
    </row>
    <row r="162" spans="1:7" x14ac:dyDescent="0.3">
      <c r="B162" s="30"/>
      <c r="C162" s="30"/>
      <c r="D162" s="30"/>
      <c r="E162" s="30"/>
      <c r="F162" s="30"/>
      <c r="G162" s="30"/>
    </row>
    <row r="163" spans="1:7" x14ac:dyDescent="0.3">
      <c r="A163" s="25" t="s">
        <v>19</v>
      </c>
      <c r="B163" s="33"/>
      <c r="C163" s="33"/>
      <c r="D163" s="33"/>
      <c r="E163" s="33"/>
      <c r="F163" s="33"/>
      <c r="G163" s="33"/>
    </row>
    <row r="164" spans="1:7" x14ac:dyDescent="0.3">
      <c r="A164" s="25" t="s">
        <v>34</v>
      </c>
      <c r="B164" s="34">
        <v>17000</v>
      </c>
      <c r="C164" s="34">
        <v>25500</v>
      </c>
      <c r="D164" s="34">
        <v>34000</v>
      </c>
      <c r="E164" s="34">
        <v>34000</v>
      </c>
      <c r="F164" s="34">
        <v>34000</v>
      </c>
      <c r="G164" s="34">
        <v>34000</v>
      </c>
    </row>
    <row r="165" spans="1:7" x14ac:dyDescent="0.3">
      <c r="A165" s="25" t="s">
        <v>35</v>
      </c>
      <c r="B165" s="34">
        <v>3000</v>
      </c>
      <c r="C165" s="34">
        <v>4285.7142857142899</v>
      </c>
      <c r="D165" s="34">
        <v>5571.4285714285697</v>
      </c>
      <c r="E165" s="34">
        <v>6857.1428571428596</v>
      </c>
      <c r="F165" s="34">
        <v>8142.8571428571404</v>
      </c>
      <c r="G165" s="34">
        <v>8142.8571428571404</v>
      </c>
    </row>
    <row r="166" spans="1:7" x14ac:dyDescent="0.3">
      <c r="A166" s="25" t="s">
        <v>36</v>
      </c>
      <c r="B166" s="34">
        <v>13333.333333333299</v>
      </c>
      <c r="C166" s="34">
        <v>19999.95</v>
      </c>
      <c r="D166" s="34">
        <v>26666.6</v>
      </c>
      <c r="E166" s="34">
        <v>33333.25</v>
      </c>
      <c r="F166" s="34">
        <v>33333.25</v>
      </c>
      <c r="G166" s="34">
        <v>33333.25</v>
      </c>
    </row>
    <row r="167" spans="1:7" x14ac:dyDescent="0.3">
      <c r="A167" s="25" t="s">
        <v>42</v>
      </c>
      <c r="B167" s="34">
        <v>6666.6666666666697</v>
      </c>
      <c r="C167" s="34">
        <v>10000.049999999999</v>
      </c>
      <c r="D167" s="34">
        <v>13333.4</v>
      </c>
      <c r="E167" s="34">
        <v>16666.75</v>
      </c>
      <c r="F167" s="34">
        <v>16666.75</v>
      </c>
      <c r="G167" s="34">
        <v>16666.75</v>
      </c>
    </row>
    <row r="168" spans="1:7" x14ac:dyDescent="0.25">
      <c r="A168" s="25" t="s">
        <v>91</v>
      </c>
      <c r="B168" s="35">
        <v>1354</v>
      </c>
      <c r="C168" s="35">
        <v>1985.86666666667</v>
      </c>
      <c r="D168" s="35">
        <v>2617.7333333333299</v>
      </c>
      <c r="E168" s="35">
        <v>3249.6</v>
      </c>
      <c r="F168" s="35">
        <v>3881.4666666666699</v>
      </c>
      <c r="G168" s="35">
        <v>4513.3333333333303</v>
      </c>
    </row>
    <row r="169" spans="1:7" x14ac:dyDescent="0.25">
      <c r="A169" s="24" t="s">
        <v>92</v>
      </c>
      <c r="B169" s="36">
        <v>2000</v>
      </c>
      <c r="C169" s="36">
        <v>2000</v>
      </c>
      <c r="D169" s="36">
        <v>2000</v>
      </c>
      <c r="E169" s="36">
        <v>2000</v>
      </c>
      <c r="F169" s="36">
        <v>2000</v>
      </c>
      <c r="G169" s="36">
        <v>2000</v>
      </c>
    </row>
    <row r="170" spans="1:7" x14ac:dyDescent="0.25">
      <c r="A170" s="24" t="s">
        <v>93</v>
      </c>
      <c r="B170" s="31">
        <v>2400</v>
      </c>
      <c r="C170" s="30">
        <v>3520.00000000001</v>
      </c>
      <c r="D170" s="30">
        <v>4639.99999999999</v>
      </c>
      <c r="E170" s="30">
        <v>5760</v>
      </c>
      <c r="F170" s="30">
        <v>6880.00000000001</v>
      </c>
      <c r="G170" s="30">
        <v>7999.99999999999</v>
      </c>
    </row>
    <row r="171" spans="1:7" x14ac:dyDescent="0.3">
      <c r="A171" s="25"/>
      <c r="B171" s="33"/>
      <c r="C171" s="33"/>
      <c r="D171" s="33"/>
      <c r="E171" s="33"/>
      <c r="F171" s="33"/>
      <c r="G171" s="33"/>
    </row>
    <row r="172" spans="1:7" x14ac:dyDescent="0.3">
      <c r="A172" s="25" t="s">
        <v>20</v>
      </c>
      <c r="B172" s="33"/>
      <c r="C172" s="33"/>
      <c r="D172" s="33"/>
      <c r="E172" s="33"/>
      <c r="F172" s="33"/>
      <c r="G172" s="33"/>
    </row>
    <row r="173" spans="1:7" x14ac:dyDescent="0.3">
      <c r="A173" s="25" t="s">
        <v>34</v>
      </c>
      <c r="B173" s="34">
        <v>14970</v>
      </c>
      <c r="C173" s="34">
        <v>22455</v>
      </c>
      <c r="D173" s="34">
        <v>29940</v>
      </c>
      <c r="E173" s="34">
        <v>29940</v>
      </c>
      <c r="F173" s="34">
        <v>29940</v>
      </c>
      <c r="G173" s="34">
        <v>29940</v>
      </c>
    </row>
    <row r="174" spans="1:7" x14ac:dyDescent="0.3">
      <c r="A174" s="25" t="s">
        <v>35</v>
      </c>
      <c r="B174" s="34">
        <v>3000</v>
      </c>
      <c r="C174" s="34">
        <v>4285.7142857142899</v>
      </c>
      <c r="D174" s="34">
        <v>5571.4285714285697</v>
      </c>
      <c r="E174" s="34">
        <v>6857.1428571428596</v>
      </c>
      <c r="F174" s="34">
        <v>8142.8571428571404</v>
      </c>
      <c r="G174" s="34">
        <v>8142.8571428571404</v>
      </c>
    </row>
    <row r="175" spans="1:7" x14ac:dyDescent="0.3">
      <c r="A175" s="25" t="s">
        <v>36</v>
      </c>
      <c r="B175" s="34">
        <v>12950</v>
      </c>
      <c r="C175" s="34">
        <v>19424.951437500102</v>
      </c>
      <c r="D175" s="34">
        <v>25899.9352500001</v>
      </c>
      <c r="E175" s="34">
        <v>32374.919062500099</v>
      </c>
      <c r="F175" s="34">
        <v>32374.919062500099</v>
      </c>
      <c r="G175" s="34">
        <v>32374.919062500099</v>
      </c>
    </row>
    <row r="176" spans="1:7" x14ac:dyDescent="0.25">
      <c r="A176" s="25" t="s">
        <v>42</v>
      </c>
      <c r="B176" s="35">
        <v>0</v>
      </c>
      <c r="C176" s="35">
        <v>0</v>
      </c>
      <c r="D176" s="35">
        <v>0</v>
      </c>
      <c r="E176" s="35">
        <v>0</v>
      </c>
      <c r="F176" s="35">
        <v>0</v>
      </c>
      <c r="G176" s="35">
        <v>0</v>
      </c>
    </row>
    <row r="177" spans="1:7" x14ac:dyDescent="0.25">
      <c r="A177" s="25" t="s">
        <v>91</v>
      </c>
      <c r="B177" s="35">
        <v>2000</v>
      </c>
      <c r="C177" s="35">
        <v>2933.3333333333399</v>
      </c>
      <c r="D177" s="35">
        <v>3866.6666666666601</v>
      </c>
      <c r="E177" s="35">
        <v>4800</v>
      </c>
      <c r="F177" s="35">
        <v>5733.3333333333403</v>
      </c>
      <c r="G177" s="35">
        <v>6666.6666666666597</v>
      </c>
    </row>
    <row r="178" spans="1:7" x14ac:dyDescent="0.25">
      <c r="A178" s="24" t="s">
        <v>92</v>
      </c>
      <c r="B178" s="32">
        <v>930</v>
      </c>
      <c r="C178" s="31">
        <v>930</v>
      </c>
      <c r="D178" s="31">
        <v>930</v>
      </c>
      <c r="E178" s="31">
        <v>930</v>
      </c>
      <c r="F178" s="31">
        <v>930</v>
      </c>
      <c r="G178" s="31">
        <v>930</v>
      </c>
    </row>
    <row r="179" spans="1:7" x14ac:dyDescent="0.25">
      <c r="A179" s="24" t="s">
        <v>93</v>
      </c>
      <c r="B179" s="31">
        <v>3000</v>
      </c>
      <c r="C179" s="31">
        <v>4400.00000000001</v>
      </c>
      <c r="D179" s="31">
        <v>5799.99999999999</v>
      </c>
      <c r="E179" s="31">
        <v>7200</v>
      </c>
      <c r="F179" s="31">
        <v>8600</v>
      </c>
      <c r="G179" s="31">
        <v>9999.9999999999909</v>
      </c>
    </row>
    <row r="180" spans="1:7" x14ac:dyDescent="0.3">
      <c r="B180" s="30"/>
      <c r="C180" s="30"/>
      <c r="D180" s="30"/>
      <c r="E180" s="30"/>
      <c r="F180" s="30"/>
      <c r="G180" s="30"/>
    </row>
    <row r="181" spans="1:7" x14ac:dyDescent="0.3">
      <c r="A181" t="s">
        <v>21</v>
      </c>
      <c r="B181" s="30"/>
      <c r="C181" s="30"/>
      <c r="D181" s="30"/>
      <c r="E181" s="30"/>
      <c r="F181" s="30"/>
      <c r="G181" s="30"/>
    </row>
    <row r="182" spans="1:7" x14ac:dyDescent="0.3">
      <c r="A182" s="25" t="s">
        <v>34</v>
      </c>
      <c r="B182" s="30">
        <v>4000</v>
      </c>
      <c r="C182" s="31">
        <v>6000</v>
      </c>
      <c r="D182" s="31">
        <v>8000</v>
      </c>
      <c r="E182" s="31">
        <v>8000</v>
      </c>
      <c r="F182" s="31">
        <v>8000</v>
      </c>
      <c r="G182" s="31">
        <v>8000</v>
      </c>
    </row>
    <row r="183" spans="1:7" x14ac:dyDescent="0.3">
      <c r="A183" s="25" t="s">
        <v>35</v>
      </c>
      <c r="B183" s="30">
        <v>4000</v>
      </c>
      <c r="C183" s="31">
        <v>5714.2857142857201</v>
      </c>
      <c r="D183" s="31">
        <v>7428.5714285714303</v>
      </c>
      <c r="E183" s="31">
        <v>9142.8571428571504</v>
      </c>
      <c r="F183" s="31">
        <v>10857.142857142901</v>
      </c>
      <c r="G183" s="31">
        <v>10857.142857142901</v>
      </c>
    </row>
    <row r="184" spans="1:7" x14ac:dyDescent="0.3">
      <c r="A184" s="25" t="s">
        <v>36</v>
      </c>
      <c r="B184" s="30">
        <v>1000</v>
      </c>
      <c r="C184" s="31">
        <v>1499.9962499999999</v>
      </c>
      <c r="D184" s="31">
        <v>1999.9950000000099</v>
      </c>
      <c r="E184" s="31">
        <v>2499.9937500000101</v>
      </c>
      <c r="F184" s="31">
        <v>2499.9937500000101</v>
      </c>
      <c r="G184" s="31">
        <v>2499.9937500000101</v>
      </c>
    </row>
    <row r="185" spans="1:7" x14ac:dyDescent="0.3">
      <c r="A185" s="25" t="s">
        <v>42</v>
      </c>
      <c r="B185" s="30">
        <v>1000</v>
      </c>
      <c r="C185" s="31">
        <v>1500.0074999999999</v>
      </c>
      <c r="D185" s="31">
        <v>2000.01</v>
      </c>
      <c r="E185" s="31">
        <v>2500.0124999999998</v>
      </c>
      <c r="F185" s="31">
        <v>2500.0124999999998</v>
      </c>
      <c r="G185" s="31">
        <v>2500.0124999999998</v>
      </c>
    </row>
    <row r="186" spans="1:7" x14ac:dyDescent="0.3">
      <c r="A186" s="25" t="s">
        <v>91</v>
      </c>
      <c r="B186" s="30">
        <v>100</v>
      </c>
      <c r="C186" s="31">
        <v>146.666666666667</v>
      </c>
      <c r="D186" s="31">
        <v>193.333333333333</v>
      </c>
      <c r="E186" s="31">
        <v>240</v>
      </c>
      <c r="F186" s="31">
        <v>286.66666666666703</v>
      </c>
      <c r="G186" s="31">
        <v>333.33333333333297</v>
      </c>
    </row>
    <row r="187" spans="1:7" x14ac:dyDescent="0.25">
      <c r="A187" s="24" t="s">
        <v>92</v>
      </c>
      <c r="B187" s="30">
        <v>500</v>
      </c>
      <c r="C187" s="31">
        <v>500</v>
      </c>
      <c r="D187" s="31">
        <v>500</v>
      </c>
      <c r="E187" s="31">
        <v>500</v>
      </c>
      <c r="F187" s="31">
        <v>500</v>
      </c>
      <c r="G187" s="31">
        <v>500</v>
      </c>
    </row>
    <row r="188" spans="1:7" x14ac:dyDescent="0.25">
      <c r="A188" s="24" t="s">
        <v>93</v>
      </c>
      <c r="B188" s="30">
        <v>100</v>
      </c>
      <c r="C188" s="31">
        <v>146.666666666667</v>
      </c>
      <c r="D188" s="31">
        <v>193.333333333333</v>
      </c>
      <c r="E188" s="31">
        <v>240</v>
      </c>
      <c r="F188" s="31">
        <v>286.66666666666703</v>
      </c>
      <c r="G188" s="31">
        <v>333.33333333333297</v>
      </c>
    </row>
    <row r="189" spans="1:7" x14ac:dyDescent="0.3">
      <c r="B189" s="30"/>
      <c r="C189" s="30"/>
      <c r="D189" s="30"/>
      <c r="E189" s="30"/>
      <c r="F189" s="30"/>
      <c r="G189" s="30"/>
    </row>
    <row r="190" spans="1:7" x14ac:dyDescent="0.3">
      <c r="A190" t="s">
        <v>22</v>
      </c>
      <c r="B190" s="30"/>
      <c r="C190" s="30"/>
      <c r="D190" s="30"/>
      <c r="E190" s="30"/>
      <c r="F190" s="30"/>
      <c r="G190" s="30"/>
    </row>
    <row r="191" spans="1:7" x14ac:dyDescent="0.3">
      <c r="A191" s="25" t="s">
        <v>34</v>
      </c>
      <c r="B191" s="30">
        <v>0</v>
      </c>
      <c r="C191" s="31">
        <v>0</v>
      </c>
      <c r="D191" s="31">
        <v>0</v>
      </c>
      <c r="E191" s="31">
        <v>0</v>
      </c>
      <c r="F191" s="31">
        <v>0</v>
      </c>
      <c r="G191" s="31">
        <v>0</v>
      </c>
    </row>
    <row r="192" spans="1:7" x14ac:dyDescent="0.3">
      <c r="A192" s="25" t="s">
        <v>35</v>
      </c>
      <c r="B192" s="30">
        <v>200</v>
      </c>
      <c r="C192" s="31">
        <v>285.71428571428601</v>
      </c>
      <c r="D192" s="31">
        <v>371.42857142857099</v>
      </c>
      <c r="E192" s="31">
        <v>457.142857142857</v>
      </c>
      <c r="F192" s="31">
        <v>542.857142857143</v>
      </c>
      <c r="G192" s="31">
        <v>542.857142857143</v>
      </c>
    </row>
    <row r="193" spans="1:7" x14ac:dyDescent="0.3">
      <c r="A193" s="25" t="s">
        <v>36</v>
      </c>
      <c r="B193" s="30">
        <v>200</v>
      </c>
      <c r="C193" s="31">
        <v>299.99925000000098</v>
      </c>
      <c r="D193" s="31">
        <v>399.99900000000099</v>
      </c>
      <c r="E193" s="31">
        <v>499.998750000001</v>
      </c>
      <c r="F193" s="31">
        <v>499.998750000001</v>
      </c>
      <c r="G193" s="31">
        <v>499.998750000001</v>
      </c>
    </row>
    <row r="194" spans="1:7" x14ac:dyDescent="0.3">
      <c r="A194" s="25" t="s">
        <v>42</v>
      </c>
      <c r="B194" s="30">
        <v>100</v>
      </c>
      <c r="C194" s="31">
        <v>150.00075000000001</v>
      </c>
      <c r="D194" s="31">
        <v>200.001</v>
      </c>
      <c r="E194" s="31">
        <v>250.00125</v>
      </c>
      <c r="F194" s="31">
        <v>250.00125</v>
      </c>
      <c r="G194" s="31">
        <v>250.00125</v>
      </c>
    </row>
    <row r="195" spans="1:7" x14ac:dyDescent="0.3">
      <c r="A195" s="25" t="s">
        <v>91</v>
      </c>
      <c r="B195" s="30">
        <v>1500</v>
      </c>
      <c r="C195" s="31">
        <v>2200</v>
      </c>
      <c r="D195" s="31">
        <v>2900</v>
      </c>
      <c r="E195" s="31">
        <v>3600</v>
      </c>
      <c r="F195" s="31">
        <v>4300</v>
      </c>
      <c r="G195" s="31">
        <v>5000</v>
      </c>
    </row>
    <row r="196" spans="1:7" x14ac:dyDescent="0.25">
      <c r="A196" s="24" t="s">
        <v>92</v>
      </c>
      <c r="B196" s="30">
        <v>800</v>
      </c>
      <c r="C196" s="31">
        <v>800</v>
      </c>
      <c r="D196" s="31">
        <v>800</v>
      </c>
      <c r="E196" s="31">
        <v>800</v>
      </c>
      <c r="F196" s="31">
        <v>800</v>
      </c>
      <c r="G196" s="31">
        <v>800</v>
      </c>
    </row>
    <row r="197" spans="1:7" x14ac:dyDescent="0.25">
      <c r="A197" s="24" t="s">
        <v>93</v>
      </c>
      <c r="B197" s="30">
        <v>1000</v>
      </c>
      <c r="C197" s="31">
        <v>1466.6666666666699</v>
      </c>
      <c r="D197" s="31">
        <v>1933.3333333333301</v>
      </c>
      <c r="E197" s="31">
        <v>2400</v>
      </c>
      <c r="F197" s="31">
        <v>2866.6666666666702</v>
      </c>
      <c r="G197" s="31">
        <v>3333.3333333333298</v>
      </c>
    </row>
    <row r="198" spans="1:7" x14ac:dyDescent="0.3">
      <c r="B198" s="30"/>
      <c r="C198" s="30"/>
      <c r="D198" s="30"/>
      <c r="E198" s="30"/>
      <c r="F198" s="30"/>
      <c r="G198" s="30"/>
    </row>
    <row r="199" spans="1:7" x14ac:dyDescent="0.3">
      <c r="A199" t="s">
        <v>23</v>
      </c>
      <c r="B199" s="30"/>
      <c r="C199" s="30"/>
      <c r="D199" s="30"/>
      <c r="E199" s="30"/>
      <c r="F199" s="30"/>
      <c r="G199" s="30"/>
    </row>
    <row r="200" spans="1:7" x14ac:dyDescent="0.3">
      <c r="A200" s="25" t="s">
        <v>34</v>
      </c>
      <c r="B200" s="30">
        <v>0</v>
      </c>
      <c r="C200" s="30">
        <v>0</v>
      </c>
      <c r="D200" s="30">
        <v>0</v>
      </c>
      <c r="E200" s="30">
        <v>0</v>
      </c>
      <c r="F200" s="30">
        <v>0</v>
      </c>
      <c r="G200" s="30">
        <v>0</v>
      </c>
    </row>
    <row r="201" spans="1:7" x14ac:dyDescent="0.3">
      <c r="A201" s="25" t="s">
        <v>35</v>
      </c>
      <c r="B201" s="30">
        <v>200</v>
      </c>
      <c r="C201" s="31">
        <v>285.71428571428601</v>
      </c>
      <c r="D201" s="31">
        <v>371.42857142857099</v>
      </c>
      <c r="E201" s="31">
        <v>457.142857142857</v>
      </c>
      <c r="F201" s="31">
        <v>542.857142857143</v>
      </c>
      <c r="G201" s="31">
        <v>542.857142857143</v>
      </c>
    </row>
    <row r="202" spans="1:7" x14ac:dyDescent="0.3">
      <c r="A202" s="25" t="s">
        <v>36</v>
      </c>
      <c r="B202" s="30">
        <v>200</v>
      </c>
      <c r="C202" s="31">
        <v>299.99925000000098</v>
      </c>
      <c r="D202" s="31">
        <v>399.99900000000099</v>
      </c>
      <c r="E202" s="31">
        <v>499.998750000001</v>
      </c>
      <c r="F202" s="31">
        <v>499.998750000001</v>
      </c>
      <c r="G202" s="31">
        <v>499.998750000001</v>
      </c>
    </row>
    <row r="203" spans="1:7" x14ac:dyDescent="0.3">
      <c r="A203" s="25" t="s">
        <v>42</v>
      </c>
      <c r="B203" s="30">
        <v>100</v>
      </c>
      <c r="C203" s="31">
        <v>150.00075000000001</v>
      </c>
      <c r="D203" s="31">
        <v>200.001</v>
      </c>
      <c r="E203" s="31">
        <v>250.00125</v>
      </c>
      <c r="F203" s="31">
        <v>250.00125</v>
      </c>
      <c r="G203" s="31">
        <v>250.00125</v>
      </c>
    </row>
    <row r="204" spans="1:7" x14ac:dyDescent="0.3">
      <c r="A204" s="25" t="s">
        <v>91</v>
      </c>
      <c r="B204" s="30">
        <v>1500</v>
      </c>
      <c r="C204" s="31">
        <v>2200</v>
      </c>
      <c r="D204" s="31">
        <v>2900</v>
      </c>
      <c r="E204" s="31">
        <v>3600</v>
      </c>
      <c r="F204" s="31">
        <v>4300</v>
      </c>
      <c r="G204" s="31">
        <v>5000</v>
      </c>
    </row>
    <row r="205" spans="1:7" x14ac:dyDescent="0.25">
      <c r="A205" s="24" t="s">
        <v>92</v>
      </c>
      <c r="B205" s="30">
        <v>800</v>
      </c>
      <c r="C205" s="31">
        <v>800</v>
      </c>
      <c r="D205" s="31">
        <v>800</v>
      </c>
      <c r="E205" s="31">
        <v>800</v>
      </c>
      <c r="F205" s="31">
        <v>800</v>
      </c>
      <c r="G205" s="31">
        <v>800</v>
      </c>
    </row>
    <row r="206" spans="1:7" x14ac:dyDescent="0.25">
      <c r="A206" s="24" t="s">
        <v>93</v>
      </c>
      <c r="B206" s="30">
        <v>1000</v>
      </c>
      <c r="C206" s="31">
        <v>1466.6666666666699</v>
      </c>
      <c r="D206" s="31">
        <v>1933.3333333333301</v>
      </c>
      <c r="E206" s="31">
        <v>2400</v>
      </c>
      <c r="F206" s="31">
        <v>2866.6666666666702</v>
      </c>
      <c r="G206" s="31">
        <v>3333.3333333333298</v>
      </c>
    </row>
    <row r="207" spans="1:7" x14ac:dyDescent="0.3">
      <c r="B207" s="30"/>
      <c r="C207" s="30"/>
      <c r="D207" s="30"/>
      <c r="E207" s="30"/>
      <c r="F207" s="30"/>
      <c r="G207" s="30"/>
    </row>
    <row r="208" spans="1:7" x14ac:dyDescent="0.3">
      <c r="A208" t="s">
        <v>24</v>
      </c>
      <c r="B208" s="30"/>
      <c r="C208" s="30"/>
      <c r="D208" s="30"/>
      <c r="E208" s="30"/>
      <c r="F208" s="30"/>
      <c r="G208" s="30"/>
    </row>
    <row r="209" spans="1:7" x14ac:dyDescent="0.3">
      <c r="A209" s="25" t="s">
        <v>34</v>
      </c>
      <c r="B209" s="30">
        <v>0</v>
      </c>
      <c r="C209" s="30">
        <v>0</v>
      </c>
      <c r="D209" s="30">
        <v>0</v>
      </c>
      <c r="E209" s="30">
        <v>0</v>
      </c>
      <c r="F209" s="30">
        <v>0</v>
      </c>
      <c r="G209" s="30">
        <v>0</v>
      </c>
    </row>
    <row r="210" spans="1:7" x14ac:dyDescent="0.3">
      <c r="A210" s="25" t="s">
        <v>35</v>
      </c>
      <c r="B210" s="30">
        <v>5000</v>
      </c>
      <c r="C210" s="31">
        <v>7142.8571428571504</v>
      </c>
      <c r="D210" s="31">
        <v>9285.7142857142808</v>
      </c>
      <c r="E210" s="31">
        <v>11428.5714285714</v>
      </c>
      <c r="F210" s="31">
        <v>13571.4285714286</v>
      </c>
      <c r="G210" s="31">
        <v>13571.4285714286</v>
      </c>
    </row>
    <row r="211" spans="1:7" x14ac:dyDescent="0.3">
      <c r="A211" s="25" t="s">
        <v>36</v>
      </c>
      <c r="B211" s="30">
        <v>15000</v>
      </c>
      <c r="C211" s="31">
        <v>22499.9437500001</v>
      </c>
      <c r="D211" s="31">
        <v>29999.925000000101</v>
      </c>
      <c r="E211" s="31">
        <v>37499.906250000102</v>
      </c>
      <c r="F211" s="31">
        <v>37499.906250000102</v>
      </c>
      <c r="G211" s="31">
        <v>37499.906250000102</v>
      </c>
    </row>
    <row r="212" spans="1:7" x14ac:dyDescent="0.3">
      <c r="A212" s="25" t="s">
        <v>42</v>
      </c>
      <c r="B212" s="30">
        <v>5000</v>
      </c>
      <c r="C212" s="31">
        <v>7500.0375000000004</v>
      </c>
      <c r="D212" s="31">
        <v>10000.049999999999</v>
      </c>
      <c r="E212" s="31">
        <v>12500.0625</v>
      </c>
      <c r="F212" s="31">
        <v>12500.0625</v>
      </c>
      <c r="G212" s="31">
        <v>12500.0625</v>
      </c>
    </row>
    <row r="213" spans="1:7" x14ac:dyDescent="0.3">
      <c r="A213" s="25" t="s">
        <v>91</v>
      </c>
      <c r="B213" s="30">
        <v>2500</v>
      </c>
      <c r="C213" s="31">
        <v>3666.6666666666702</v>
      </c>
      <c r="D213" s="31">
        <v>4833.3333333333303</v>
      </c>
      <c r="E213" s="31">
        <v>6000</v>
      </c>
      <c r="F213" s="31">
        <v>7166.6666666666697</v>
      </c>
      <c r="G213" s="31">
        <v>8333.3333333333303</v>
      </c>
    </row>
    <row r="214" spans="1:7" x14ac:dyDescent="0.25">
      <c r="A214" s="24" t="s">
        <v>92</v>
      </c>
      <c r="B214" s="30">
        <v>500</v>
      </c>
      <c r="C214" s="31">
        <v>500</v>
      </c>
      <c r="D214" s="31">
        <v>500</v>
      </c>
      <c r="E214" s="31">
        <v>500</v>
      </c>
      <c r="F214" s="31">
        <v>500</v>
      </c>
      <c r="G214" s="31">
        <v>500</v>
      </c>
    </row>
    <row r="215" spans="1:7" x14ac:dyDescent="0.25">
      <c r="A215" s="24" t="s">
        <v>93</v>
      </c>
      <c r="B215" s="30">
        <v>1000</v>
      </c>
      <c r="C215" s="31">
        <v>1466.6666666666699</v>
      </c>
      <c r="D215" s="31">
        <v>1933.3333333333301</v>
      </c>
      <c r="E215" s="31">
        <v>2400</v>
      </c>
      <c r="F215" s="31">
        <v>2866.6666666666702</v>
      </c>
      <c r="G215" s="31">
        <v>3333.3333333333298</v>
      </c>
    </row>
    <row r="216" spans="1:7" x14ac:dyDescent="0.3">
      <c r="B216" s="30"/>
      <c r="C216" s="30"/>
      <c r="D216" s="30"/>
      <c r="E216" s="30"/>
      <c r="F216" s="30"/>
      <c r="G216" s="30"/>
    </row>
    <row r="217" spans="1:7" x14ac:dyDescent="0.3">
      <c r="A217" t="s">
        <v>25</v>
      </c>
      <c r="B217" s="30"/>
      <c r="C217" s="30"/>
      <c r="D217" s="30"/>
      <c r="E217" s="30"/>
      <c r="F217" s="30"/>
      <c r="G217" s="30"/>
    </row>
    <row r="218" spans="1:7" x14ac:dyDescent="0.3">
      <c r="A218" s="25" t="s">
        <v>34</v>
      </c>
      <c r="B218" s="31">
        <v>0</v>
      </c>
      <c r="C218" s="31">
        <v>0</v>
      </c>
      <c r="D218" s="31">
        <v>0</v>
      </c>
      <c r="E218" s="31">
        <v>0</v>
      </c>
      <c r="F218" s="31">
        <v>0</v>
      </c>
      <c r="G218" s="31">
        <v>0</v>
      </c>
    </row>
    <row r="219" spans="1:7" x14ac:dyDescent="0.3">
      <c r="A219" s="25" t="s">
        <v>35</v>
      </c>
      <c r="B219" s="31">
        <v>3000</v>
      </c>
      <c r="C219" s="31">
        <v>4285.7142857142899</v>
      </c>
      <c r="D219" s="31">
        <v>5571.4285714285697</v>
      </c>
      <c r="E219" s="31">
        <v>6857.1428571428596</v>
      </c>
      <c r="F219" s="31">
        <v>8142.8571428571404</v>
      </c>
      <c r="G219" s="31">
        <v>8142.8571428571404</v>
      </c>
    </row>
    <row r="220" spans="1:7" x14ac:dyDescent="0.3">
      <c r="A220" s="25" t="s">
        <v>36</v>
      </c>
      <c r="B220" s="31">
        <v>15000</v>
      </c>
      <c r="C220" s="31">
        <v>22499.9437500001</v>
      </c>
      <c r="D220" s="31">
        <v>29999.925000000101</v>
      </c>
      <c r="E220" s="31">
        <v>37499.906250000102</v>
      </c>
      <c r="F220" s="31">
        <v>37499.906250000102</v>
      </c>
      <c r="G220" s="31">
        <v>37499.906250000102</v>
      </c>
    </row>
    <row r="221" spans="1:7" x14ac:dyDescent="0.3">
      <c r="A221" s="25" t="s">
        <v>42</v>
      </c>
      <c r="B221" s="31">
        <v>0</v>
      </c>
      <c r="C221" s="31">
        <v>0</v>
      </c>
      <c r="D221" s="31">
        <v>0</v>
      </c>
      <c r="E221" s="31">
        <v>0</v>
      </c>
      <c r="F221" s="31">
        <v>0</v>
      </c>
      <c r="G221" s="31">
        <v>0</v>
      </c>
    </row>
    <row r="222" spans="1:7" x14ac:dyDescent="0.3">
      <c r="A222" s="25" t="s">
        <v>91</v>
      </c>
      <c r="B222" s="31">
        <v>800</v>
      </c>
      <c r="C222" s="31">
        <v>1173.3333333333401</v>
      </c>
      <c r="D222" s="31">
        <v>1546.6666666666599</v>
      </c>
      <c r="E222" s="31">
        <v>1920</v>
      </c>
      <c r="F222" s="31">
        <v>2293.3333333333399</v>
      </c>
      <c r="G222" s="31">
        <v>2666.6666666666702</v>
      </c>
    </row>
    <row r="223" spans="1:7" x14ac:dyDescent="0.25">
      <c r="A223" s="24" t="s">
        <v>92</v>
      </c>
      <c r="B223" s="32">
        <v>100</v>
      </c>
      <c r="C223" s="31">
        <v>100</v>
      </c>
      <c r="D223" s="31">
        <v>100</v>
      </c>
      <c r="E223" s="31">
        <v>100</v>
      </c>
      <c r="F223" s="31">
        <v>100</v>
      </c>
      <c r="G223" s="31">
        <v>100</v>
      </c>
    </row>
    <row r="224" spans="1:7" x14ac:dyDescent="0.25">
      <c r="A224" s="24" t="s">
        <v>93</v>
      </c>
      <c r="B224" s="31">
        <v>2400</v>
      </c>
      <c r="C224" s="31">
        <v>3520.00000000001</v>
      </c>
      <c r="D224" s="31">
        <v>4639.99999999999</v>
      </c>
      <c r="E224" s="31">
        <v>5760</v>
      </c>
      <c r="F224" s="31">
        <v>6880</v>
      </c>
      <c r="G224" s="31">
        <v>7999.99999999999</v>
      </c>
    </row>
    <row r="225" spans="1:7" x14ac:dyDescent="0.3">
      <c r="B225" s="30"/>
      <c r="C225" s="30"/>
      <c r="D225" s="30"/>
      <c r="E225" s="30"/>
      <c r="F225" s="30"/>
      <c r="G225" s="30"/>
    </row>
    <row r="226" spans="1:7" x14ac:dyDescent="0.3">
      <c r="A226" t="s">
        <v>26</v>
      </c>
      <c r="B226" s="30"/>
      <c r="C226" s="30"/>
      <c r="D226" s="30"/>
      <c r="E226" s="30"/>
      <c r="F226" s="30"/>
      <c r="G226" s="30"/>
    </row>
    <row r="227" spans="1:7" x14ac:dyDescent="0.3">
      <c r="A227" s="25" t="s">
        <v>34</v>
      </c>
      <c r="B227" s="30">
        <v>0</v>
      </c>
      <c r="C227" s="30">
        <v>0</v>
      </c>
      <c r="D227" s="30">
        <v>0</v>
      </c>
      <c r="E227" s="30">
        <v>0</v>
      </c>
      <c r="F227" s="30">
        <v>0</v>
      </c>
      <c r="G227" s="30">
        <v>0</v>
      </c>
    </row>
    <row r="228" spans="1:7" x14ac:dyDescent="0.3">
      <c r="A228" s="25" t="s">
        <v>35</v>
      </c>
      <c r="B228" s="30">
        <v>100</v>
      </c>
      <c r="C228" s="31">
        <v>142.857142857143</v>
      </c>
      <c r="D228" s="31">
        <v>185.71428571428601</v>
      </c>
      <c r="E228" s="31">
        <v>228.57142857142901</v>
      </c>
      <c r="F228" s="31">
        <v>271.42857142857099</v>
      </c>
      <c r="G228" s="31">
        <v>271.42857142857099</v>
      </c>
    </row>
    <row r="229" spans="1:7" x14ac:dyDescent="0.3">
      <c r="A229" s="25" t="s">
        <v>36</v>
      </c>
      <c r="B229" s="30">
        <v>10000</v>
      </c>
      <c r="C229" s="31">
        <v>14999.9625</v>
      </c>
      <c r="D229" s="31">
        <v>19999.950000000099</v>
      </c>
      <c r="E229" s="31">
        <v>24999.937500000098</v>
      </c>
      <c r="F229" s="31">
        <v>24999.937500000098</v>
      </c>
      <c r="G229" s="31">
        <v>24999.937500000098</v>
      </c>
    </row>
    <row r="230" spans="1:7" x14ac:dyDescent="0.3">
      <c r="A230" s="25" t="s">
        <v>42</v>
      </c>
      <c r="B230" s="30">
        <v>0</v>
      </c>
      <c r="C230" s="30">
        <v>0</v>
      </c>
      <c r="D230" s="30">
        <v>0</v>
      </c>
      <c r="E230" s="30">
        <v>0</v>
      </c>
      <c r="F230" s="30">
        <v>0</v>
      </c>
      <c r="G230" s="30">
        <v>0</v>
      </c>
    </row>
    <row r="231" spans="1:7" x14ac:dyDescent="0.3">
      <c r="A231" s="25" t="s">
        <v>91</v>
      </c>
      <c r="B231" s="30">
        <v>30</v>
      </c>
      <c r="C231" s="31">
        <v>44.000000000000099</v>
      </c>
      <c r="D231" s="31">
        <v>57.999999999999901</v>
      </c>
      <c r="E231" s="31">
        <v>72</v>
      </c>
      <c r="F231" s="31">
        <v>86.000000000000099</v>
      </c>
      <c r="G231" s="31">
        <v>100</v>
      </c>
    </row>
    <row r="232" spans="1:7" x14ac:dyDescent="0.25">
      <c r="A232" s="24" t="s">
        <v>92</v>
      </c>
      <c r="B232" s="30">
        <v>10</v>
      </c>
      <c r="C232" s="31">
        <v>10</v>
      </c>
      <c r="D232" s="31">
        <v>10</v>
      </c>
      <c r="E232" s="31">
        <v>10</v>
      </c>
      <c r="F232" s="31">
        <v>10</v>
      </c>
      <c r="G232" s="31">
        <v>10</v>
      </c>
    </row>
    <row r="233" spans="1:7" x14ac:dyDescent="0.25">
      <c r="A233" s="24" t="s">
        <v>93</v>
      </c>
      <c r="B233" s="30">
        <v>20</v>
      </c>
      <c r="C233" s="31">
        <v>29.3333333333334</v>
      </c>
      <c r="D233" s="31">
        <v>38.6666666666666</v>
      </c>
      <c r="E233" s="31">
        <v>48</v>
      </c>
      <c r="F233" s="31">
        <v>57.3333333333334</v>
      </c>
      <c r="G233" s="31">
        <v>66.6666666666666</v>
      </c>
    </row>
    <row r="234" spans="1:7" x14ac:dyDescent="0.3">
      <c r="B234" s="30"/>
      <c r="C234" s="30"/>
      <c r="D234" s="30"/>
      <c r="E234" s="30"/>
      <c r="F234" s="30"/>
      <c r="G234" s="30"/>
    </row>
    <row r="235" spans="1:7" x14ac:dyDescent="0.3">
      <c r="A235" t="s">
        <v>27</v>
      </c>
      <c r="B235" s="30"/>
      <c r="C235" s="30"/>
      <c r="D235" s="30"/>
      <c r="E235" s="30"/>
      <c r="F235" s="30"/>
      <c r="G235" s="30"/>
    </row>
    <row r="236" spans="1:7" x14ac:dyDescent="0.3">
      <c r="A236" s="25" t="s">
        <v>34</v>
      </c>
      <c r="B236" s="30">
        <v>0</v>
      </c>
      <c r="C236" s="30">
        <v>0</v>
      </c>
      <c r="D236" s="30">
        <v>0</v>
      </c>
      <c r="E236" s="30">
        <v>0</v>
      </c>
      <c r="F236" s="30">
        <v>0</v>
      </c>
      <c r="G236" s="30">
        <v>0</v>
      </c>
    </row>
    <row r="237" spans="1:7" x14ac:dyDescent="0.3">
      <c r="A237" s="25" t="s">
        <v>35</v>
      </c>
      <c r="B237" s="30">
        <v>10000</v>
      </c>
      <c r="C237" s="31">
        <v>14285.714285714301</v>
      </c>
      <c r="D237" s="31">
        <v>18571.428571428602</v>
      </c>
      <c r="E237" s="31">
        <v>22857.142857142899</v>
      </c>
      <c r="F237" s="31">
        <v>27142.857142857101</v>
      </c>
      <c r="G237" s="31">
        <v>27142.857142857101</v>
      </c>
    </row>
    <row r="238" spans="1:7" x14ac:dyDescent="0.3">
      <c r="A238" s="25" t="s">
        <v>36</v>
      </c>
      <c r="B238" s="30">
        <v>20000</v>
      </c>
      <c r="C238" s="31">
        <v>29999.925000000101</v>
      </c>
      <c r="D238" s="31">
        <v>39999.900000000103</v>
      </c>
      <c r="E238" s="31">
        <v>49999.875000000102</v>
      </c>
      <c r="F238" s="31">
        <v>49999.875000000102</v>
      </c>
      <c r="G238" s="31">
        <v>49999.875000000102</v>
      </c>
    </row>
    <row r="239" spans="1:7" x14ac:dyDescent="0.3">
      <c r="A239" s="25" t="s">
        <v>42</v>
      </c>
      <c r="B239" s="30">
        <v>0</v>
      </c>
      <c r="C239" s="30">
        <v>0</v>
      </c>
      <c r="D239" s="30">
        <v>0</v>
      </c>
      <c r="E239" s="30">
        <v>0</v>
      </c>
      <c r="F239" s="30">
        <v>0</v>
      </c>
      <c r="G239" s="30">
        <v>0</v>
      </c>
    </row>
    <row r="240" spans="1:7" x14ac:dyDescent="0.3">
      <c r="A240" s="25" t="s">
        <v>91</v>
      </c>
      <c r="B240" s="30">
        <v>4000</v>
      </c>
      <c r="C240" s="31">
        <v>5866.6666666666797</v>
      </c>
      <c r="D240" s="31">
        <v>7733.3333333333203</v>
      </c>
      <c r="E240" s="31">
        <v>9600</v>
      </c>
      <c r="F240" s="31">
        <v>11466.666666666701</v>
      </c>
      <c r="G240" s="31">
        <v>13333.333333333299</v>
      </c>
    </row>
    <row r="241" spans="1:7" x14ac:dyDescent="0.25">
      <c r="A241" s="24" t="s">
        <v>92</v>
      </c>
      <c r="B241" s="30">
        <v>5000</v>
      </c>
      <c r="C241" s="31">
        <v>5000</v>
      </c>
      <c r="D241" s="31">
        <v>5000</v>
      </c>
      <c r="E241" s="31">
        <v>5000</v>
      </c>
      <c r="F241" s="31">
        <v>5000</v>
      </c>
      <c r="G241" s="31">
        <v>5000</v>
      </c>
    </row>
    <row r="242" spans="1:7" x14ac:dyDescent="0.25">
      <c r="A242" s="24" t="s">
        <v>93</v>
      </c>
      <c r="B242" s="30">
        <v>1000</v>
      </c>
      <c r="C242" s="31">
        <v>1466.6666666666699</v>
      </c>
      <c r="D242" s="31">
        <v>1933.3333333333301</v>
      </c>
      <c r="E242" s="31">
        <v>2400</v>
      </c>
      <c r="F242" s="31">
        <v>2866.6666666666702</v>
      </c>
      <c r="G242" s="31">
        <v>3333.3333333333298</v>
      </c>
    </row>
    <row r="243" spans="1:7" x14ac:dyDescent="0.3">
      <c r="B243" s="30"/>
      <c r="C243" s="30"/>
      <c r="D243" s="30"/>
      <c r="E243" s="30"/>
      <c r="F243" s="30"/>
      <c r="G243" s="30"/>
    </row>
    <row r="244" spans="1:7" x14ac:dyDescent="0.3">
      <c r="A244" t="s">
        <v>28</v>
      </c>
      <c r="B244" s="30"/>
      <c r="C244" s="30"/>
      <c r="D244" s="30"/>
      <c r="E244" s="30"/>
      <c r="F244" s="30"/>
      <c r="G244" s="30"/>
    </row>
    <row r="245" spans="1:7" x14ac:dyDescent="0.3">
      <c r="A245" s="25" t="s">
        <v>34</v>
      </c>
      <c r="B245" s="30">
        <v>0</v>
      </c>
      <c r="C245" s="30">
        <v>0</v>
      </c>
      <c r="D245" s="30">
        <v>0</v>
      </c>
      <c r="E245" s="30">
        <v>0</v>
      </c>
      <c r="F245" s="30">
        <v>0</v>
      </c>
      <c r="G245" s="30">
        <v>0</v>
      </c>
    </row>
    <row r="246" spans="1:7" x14ac:dyDescent="0.3">
      <c r="A246" s="25" t="s">
        <v>35</v>
      </c>
      <c r="B246" s="30">
        <v>24800</v>
      </c>
      <c r="C246" s="31">
        <v>35428.5714285715</v>
      </c>
      <c r="D246" s="31">
        <v>46057.142857142797</v>
      </c>
      <c r="E246" s="31">
        <v>56685.714285714297</v>
      </c>
      <c r="F246" s="31">
        <v>67314.285714285696</v>
      </c>
      <c r="G246" s="31">
        <v>67314.285714285696</v>
      </c>
    </row>
    <row r="247" spans="1:7" x14ac:dyDescent="0.3">
      <c r="A247" s="25" t="s">
        <v>36</v>
      </c>
      <c r="B247" s="30">
        <v>32030</v>
      </c>
      <c r="C247" s="31">
        <v>48044.879887500101</v>
      </c>
      <c r="D247" s="31">
        <v>64059.8398500002</v>
      </c>
      <c r="E247" s="31">
        <v>80074.799812500205</v>
      </c>
      <c r="F247" s="31">
        <v>80074.799812500205</v>
      </c>
      <c r="G247" s="31">
        <v>80074.799812500205</v>
      </c>
    </row>
    <row r="248" spans="1:7" x14ac:dyDescent="0.3">
      <c r="A248" s="25" t="s">
        <v>42</v>
      </c>
      <c r="B248" s="30">
        <v>0</v>
      </c>
      <c r="C248" s="30">
        <v>0</v>
      </c>
      <c r="D248" s="30">
        <v>0</v>
      </c>
      <c r="E248" s="30">
        <v>0</v>
      </c>
      <c r="F248" s="30">
        <v>0</v>
      </c>
      <c r="G248" s="30">
        <v>0</v>
      </c>
    </row>
    <row r="249" spans="1:7" x14ac:dyDescent="0.3">
      <c r="A249" s="25" t="s">
        <v>91</v>
      </c>
      <c r="B249" s="30">
        <v>6000</v>
      </c>
      <c r="C249" s="31">
        <v>8800.0000000000091</v>
      </c>
      <c r="D249" s="31">
        <v>11600</v>
      </c>
      <c r="E249" s="31">
        <v>14400</v>
      </c>
      <c r="F249" s="31">
        <v>17200</v>
      </c>
      <c r="G249" s="31">
        <v>20000</v>
      </c>
    </row>
    <row r="250" spans="1:7" x14ac:dyDescent="0.25">
      <c r="A250" s="24" t="s">
        <v>92</v>
      </c>
      <c r="B250" s="30">
        <v>600</v>
      </c>
      <c r="C250" s="31">
        <v>600</v>
      </c>
      <c r="D250" s="31">
        <v>600</v>
      </c>
      <c r="E250" s="31">
        <v>600</v>
      </c>
      <c r="F250" s="31">
        <v>600</v>
      </c>
      <c r="G250" s="31">
        <v>600</v>
      </c>
    </row>
    <row r="251" spans="1:7" x14ac:dyDescent="0.25">
      <c r="A251" s="24" t="s">
        <v>93</v>
      </c>
      <c r="B251" s="30">
        <v>600</v>
      </c>
      <c r="C251" s="31">
        <v>880.00000000000205</v>
      </c>
      <c r="D251" s="31">
        <v>1160</v>
      </c>
      <c r="E251" s="31">
        <v>1440</v>
      </c>
      <c r="F251" s="31">
        <v>1720</v>
      </c>
      <c r="G251" s="31">
        <v>2000</v>
      </c>
    </row>
    <row r="252" spans="1:7" x14ac:dyDescent="0.3">
      <c r="B252" s="30"/>
      <c r="C252" s="30"/>
      <c r="D252" s="30"/>
      <c r="E252" s="30"/>
      <c r="F252" s="30"/>
      <c r="G252" s="30"/>
    </row>
    <row r="253" spans="1:7" x14ac:dyDescent="0.3">
      <c r="A253" t="s">
        <v>29</v>
      </c>
      <c r="B253" s="30"/>
      <c r="C253" s="30"/>
      <c r="D253" s="30"/>
      <c r="E253" s="30"/>
      <c r="F253" s="30"/>
      <c r="G253" s="30"/>
    </row>
    <row r="254" spans="1:7" x14ac:dyDescent="0.3">
      <c r="A254" s="25" t="s">
        <v>34</v>
      </c>
      <c r="B254" s="30">
        <v>0</v>
      </c>
      <c r="C254" s="30">
        <v>0</v>
      </c>
      <c r="D254" s="30">
        <v>0</v>
      </c>
      <c r="E254" s="30">
        <v>0</v>
      </c>
      <c r="F254" s="30">
        <v>0</v>
      </c>
      <c r="G254" s="30">
        <v>0</v>
      </c>
    </row>
    <row r="255" spans="1:7" x14ac:dyDescent="0.3">
      <c r="A255" s="25" t="s">
        <v>35</v>
      </c>
      <c r="B255" s="30">
        <v>80700</v>
      </c>
      <c r="C255" s="31">
        <v>115285.714285714</v>
      </c>
      <c r="D255" s="31">
        <v>149871.42857142899</v>
      </c>
      <c r="E255" s="31">
        <v>184457.14285714299</v>
      </c>
      <c r="F255" s="31">
        <v>219042.85714285701</v>
      </c>
      <c r="G255" s="31">
        <v>219042.85714285701</v>
      </c>
    </row>
    <row r="256" spans="1:7" x14ac:dyDescent="0.3">
      <c r="A256" s="25" t="s">
        <v>36</v>
      </c>
      <c r="B256" s="30">
        <v>30000</v>
      </c>
      <c r="C256" s="31">
        <v>44999.887500000099</v>
      </c>
      <c r="D256" s="31">
        <v>59999.850000000202</v>
      </c>
      <c r="E256" s="31">
        <v>74999.812500000204</v>
      </c>
      <c r="F256" s="31">
        <v>74999.812500000204</v>
      </c>
      <c r="G256" s="31">
        <v>74999.812500000204</v>
      </c>
    </row>
    <row r="257" spans="1:7" x14ac:dyDescent="0.3">
      <c r="A257" s="25" t="s">
        <v>42</v>
      </c>
      <c r="B257" s="30">
        <v>0</v>
      </c>
      <c r="C257" s="30">
        <v>0</v>
      </c>
      <c r="D257" s="30">
        <v>0</v>
      </c>
      <c r="E257" s="30">
        <v>0</v>
      </c>
      <c r="F257" s="30">
        <v>0</v>
      </c>
      <c r="G257" s="30">
        <v>0</v>
      </c>
    </row>
    <row r="258" spans="1:7" x14ac:dyDescent="0.3">
      <c r="A258" s="25" t="s">
        <v>91</v>
      </c>
      <c r="B258" s="30">
        <v>5637</v>
      </c>
      <c r="C258" s="31">
        <v>8267.6000000000095</v>
      </c>
      <c r="D258" s="31">
        <v>10898.2</v>
      </c>
      <c r="E258" s="31">
        <v>13528.8</v>
      </c>
      <c r="F258" s="31">
        <v>16159.4</v>
      </c>
      <c r="G258" s="31">
        <v>18790</v>
      </c>
    </row>
    <row r="259" spans="1:7" x14ac:dyDescent="0.25">
      <c r="A259" s="24" t="s">
        <v>92</v>
      </c>
      <c r="B259" s="30">
        <v>600</v>
      </c>
      <c r="C259" s="31">
        <v>600</v>
      </c>
      <c r="D259" s="31">
        <v>600</v>
      </c>
      <c r="E259" s="31">
        <v>600</v>
      </c>
      <c r="F259" s="31">
        <v>600</v>
      </c>
      <c r="G259" s="31">
        <v>600</v>
      </c>
    </row>
    <row r="260" spans="1:7" x14ac:dyDescent="0.25">
      <c r="A260" s="24" t="s">
        <v>93</v>
      </c>
      <c r="B260" s="30">
        <v>1000</v>
      </c>
      <c r="C260" s="31">
        <v>1466.6666666666699</v>
      </c>
      <c r="D260" s="31">
        <v>1933.3333333333301</v>
      </c>
      <c r="E260" s="31">
        <v>2400</v>
      </c>
      <c r="F260" s="31">
        <v>2866.6666666666702</v>
      </c>
      <c r="G260" s="31">
        <v>3333.3333333333298</v>
      </c>
    </row>
    <row r="261" spans="1:7" x14ac:dyDescent="0.3">
      <c r="B261" s="30"/>
      <c r="C261" s="30"/>
      <c r="D261" s="30"/>
      <c r="E261" s="30"/>
      <c r="F261" s="30"/>
      <c r="G261" s="30"/>
    </row>
    <row r="262" spans="1:7" x14ac:dyDescent="0.3">
      <c r="A262" t="s">
        <v>30</v>
      </c>
      <c r="B262" s="30"/>
      <c r="C262" s="30"/>
      <c r="D262" s="30"/>
      <c r="E262" s="30"/>
      <c r="F262" s="30"/>
      <c r="G262" s="30"/>
    </row>
    <row r="263" spans="1:7" x14ac:dyDescent="0.3">
      <c r="A263" s="25" t="s">
        <v>34</v>
      </c>
      <c r="B263" s="30">
        <v>0</v>
      </c>
      <c r="C263" s="30">
        <v>0</v>
      </c>
      <c r="D263" s="30">
        <v>0</v>
      </c>
      <c r="E263" s="30">
        <v>0</v>
      </c>
      <c r="F263" s="30">
        <v>0</v>
      </c>
      <c r="G263" s="30">
        <v>0</v>
      </c>
    </row>
    <row r="264" spans="1:7" x14ac:dyDescent="0.3">
      <c r="A264" s="25" t="s">
        <v>35</v>
      </c>
      <c r="B264" s="30">
        <v>10000</v>
      </c>
      <c r="C264" s="31">
        <v>14285.714285714301</v>
      </c>
      <c r="D264" s="31">
        <v>18571.428571428602</v>
      </c>
      <c r="E264" s="31">
        <v>22857.142857142899</v>
      </c>
      <c r="F264" s="31">
        <v>27142.857142857101</v>
      </c>
      <c r="G264" s="31">
        <v>27142.857142857101</v>
      </c>
    </row>
    <row r="265" spans="1:7" x14ac:dyDescent="0.3">
      <c r="A265" s="25" t="s">
        <v>36</v>
      </c>
      <c r="B265" s="30">
        <v>20530</v>
      </c>
      <c r="C265" s="31">
        <v>30794.923012500101</v>
      </c>
      <c r="D265" s="31">
        <v>41059.897350000101</v>
      </c>
      <c r="E265" s="31">
        <v>51324.871687500097</v>
      </c>
      <c r="F265" s="31">
        <v>51324.871687500097</v>
      </c>
      <c r="G265" s="31">
        <v>51324.871687500097</v>
      </c>
    </row>
    <row r="266" spans="1:7" x14ac:dyDescent="0.3">
      <c r="A266" s="25" t="s">
        <v>42</v>
      </c>
      <c r="B266" s="30">
        <v>0</v>
      </c>
      <c r="C266" s="30">
        <v>0</v>
      </c>
      <c r="D266" s="30">
        <v>0</v>
      </c>
      <c r="E266" s="30">
        <v>0</v>
      </c>
      <c r="F266" s="30">
        <v>0</v>
      </c>
      <c r="G266" s="30">
        <v>0</v>
      </c>
    </row>
    <row r="267" spans="1:7" x14ac:dyDescent="0.3">
      <c r="A267" s="25" t="s">
        <v>91</v>
      </c>
      <c r="B267" s="30">
        <v>2000</v>
      </c>
      <c r="C267" s="31">
        <v>2933.3333333333399</v>
      </c>
      <c r="D267" s="31">
        <v>3866.6666666666601</v>
      </c>
      <c r="E267" s="31">
        <v>4800</v>
      </c>
      <c r="F267" s="31">
        <v>5733.3333333333403</v>
      </c>
      <c r="G267" s="31">
        <v>6666.6666666666597</v>
      </c>
    </row>
    <row r="268" spans="1:7" x14ac:dyDescent="0.25">
      <c r="A268" s="24" t="s">
        <v>92</v>
      </c>
      <c r="B268" s="30">
        <v>150</v>
      </c>
      <c r="C268" s="31">
        <v>150</v>
      </c>
      <c r="D268" s="31">
        <v>150</v>
      </c>
      <c r="E268" s="31">
        <v>150</v>
      </c>
      <c r="F268" s="31">
        <v>150</v>
      </c>
      <c r="G268" s="31">
        <v>150</v>
      </c>
    </row>
    <row r="269" spans="1:7" x14ac:dyDescent="0.25">
      <c r="A269" s="24" t="s">
        <v>93</v>
      </c>
      <c r="B269" s="30">
        <v>100</v>
      </c>
      <c r="C269" s="31">
        <v>146.666666666667</v>
      </c>
      <c r="D269" s="31">
        <v>193.333333333333</v>
      </c>
      <c r="E269" s="31">
        <v>240</v>
      </c>
      <c r="F269" s="31">
        <v>286.66666666666703</v>
      </c>
      <c r="G269" s="31">
        <v>333.33333333333297</v>
      </c>
    </row>
    <row r="270" spans="1:7" x14ac:dyDescent="0.3">
      <c r="B270" s="30"/>
      <c r="C270" s="30"/>
      <c r="D270" s="30"/>
      <c r="E270" s="30"/>
      <c r="F270" s="30"/>
      <c r="G270" s="30"/>
    </row>
    <row r="271" spans="1:7" x14ac:dyDescent="0.3">
      <c r="A271" t="s">
        <v>31</v>
      </c>
      <c r="B271" s="30"/>
      <c r="C271" s="30"/>
      <c r="D271" s="30"/>
      <c r="E271" s="30"/>
      <c r="F271" s="30"/>
      <c r="G271" s="30"/>
    </row>
    <row r="272" spans="1:7" x14ac:dyDescent="0.3">
      <c r="A272" s="25" t="s">
        <v>34</v>
      </c>
      <c r="B272" s="30">
        <v>0</v>
      </c>
      <c r="C272" s="30">
        <v>0</v>
      </c>
      <c r="D272" s="30">
        <v>0</v>
      </c>
      <c r="E272" s="30">
        <v>0</v>
      </c>
      <c r="F272" s="30">
        <v>0</v>
      </c>
      <c r="G272" s="30">
        <v>0</v>
      </c>
    </row>
    <row r="273" spans="1:7" x14ac:dyDescent="0.3">
      <c r="A273" s="25" t="s">
        <v>35</v>
      </c>
      <c r="B273" s="30">
        <v>40000</v>
      </c>
      <c r="C273" s="31">
        <v>57142.857142857203</v>
      </c>
      <c r="D273" s="31">
        <v>74285.714285714304</v>
      </c>
      <c r="E273" s="31">
        <v>91428.571428571406</v>
      </c>
      <c r="F273" s="31">
        <v>108571.428571429</v>
      </c>
      <c r="G273" s="31">
        <v>108571.428571429</v>
      </c>
    </row>
    <row r="274" spans="1:7" x14ac:dyDescent="0.3">
      <c r="A274" s="25" t="s">
        <v>36</v>
      </c>
      <c r="B274" s="30">
        <v>30000</v>
      </c>
      <c r="C274" s="31">
        <v>44999.887500000099</v>
      </c>
      <c r="D274" s="31">
        <v>59999.850000000202</v>
      </c>
      <c r="E274" s="31">
        <v>74999.812500000204</v>
      </c>
      <c r="F274" s="31">
        <v>74999.812500000204</v>
      </c>
      <c r="G274" s="31">
        <v>74999.812500000204</v>
      </c>
    </row>
    <row r="275" spans="1:7" x14ac:dyDescent="0.3">
      <c r="A275" s="25" t="s">
        <v>42</v>
      </c>
      <c r="B275" s="30">
        <v>0</v>
      </c>
      <c r="C275" s="30">
        <v>0</v>
      </c>
      <c r="D275" s="30">
        <v>0</v>
      </c>
      <c r="E275" s="30">
        <v>0</v>
      </c>
      <c r="F275" s="30">
        <v>0</v>
      </c>
      <c r="G275" s="30">
        <v>0</v>
      </c>
    </row>
    <row r="276" spans="1:7" x14ac:dyDescent="0.3">
      <c r="A276" s="25" t="s">
        <v>91</v>
      </c>
      <c r="B276" s="30">
        <v>10000</v>
      </c>
      <c r="C276" s="31">
        <v>14666.666666666701</v>
      </c>
      <c r="D276" s="31">
        <v>19333.333333333299</v>
      </c>
      <c r="E276" s="31">
        <v>24000</v>
      </c>
      <c r="F276" s="31">
        <v>28666.666666666701</v>
      </c>
      <c r="G276" s="31">
        <v>33333.333333333299</v>
      </c>
    </row>
    <row r="277" spans="1:7" x14ac:dyDescent="0.25">
      <c r="A277" s="24" t="s">
        <v>92</v>
      </c>
      <c r="B277" s="30">
        <v>500</v>
      </c>
      <c r="C277" s="31">
        <v>500</v>
      </c>
      <c r="D277" s="31">
        <v>500</v>
      </c>
      <c r="E277" s="31">
        <v>500</v>
      </c>
      <c r="F277" s="31">
        <v>500</v>
      </c>
      <c r="G277" s="31">
        <v>500</v>
      </c>
    </row>
    <row r="278" spans="1:7" x14ac:dyDescent="0.25">
      <c r="A278" s="24" t="s">
        <v>93</v>
      </c>
      <c r="B278" s="30">
        <v>2000</v>
      </c>
      <c r="C278" s="31">
        <v>2933.3333333333399</v>
      </c>
      <c r="D278" s="31">
        <v>3866.6666666666601</v>
      </c>
      <c r="E278" s="31">
        <v>4800</v>
      </c>
      <c r="F278" s="31">
        <v>5733.3333333333403</v>
      </c>
      <c r="G278" s="31">
        <v>6666.6666666666597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D25" sqref="D25"/>
    </sheetView>
  </sheetViews>
  <sheetFormatPr defaultColWidth="8.83203125" defaultRowHeight="14" x14ac:dyDescent="0.3"/>
  <cols>
    <col min="1" max="1" width="16" customWidth="1"/>
    <col min="2" max="2" width="20.33203125" customWidth="1"/>
  </cols>
  <sheetData>
    <row r="1" spans="1:7" x14ac:dyDescent="0.3">
      <c r="A1" s="20"/>
      <c r="B1" s="20" t="s">
        <v>85</v>
      </c>
      <c r="C1" s="20" t="s">
        <v>86</v>
      </c>
      <c r="D1" s="20" t="s">
        <v>87</v>
      </c>
      <c r="E1" s="20" t="s">
        <v>88</v>
      </c>
      <c r="F1" s="20" t="s">
        <v>89</v>
      </c>
      <c r="G1" s="20" t="s">
        <v>90</v>
      </c>
    </row>
    <row r="2" spans="1:7" x14ac:dyDescent="0.3">
      <c r="A2" s="9" t="s">
        <v>94</v>
      </c>
      <c r="B2" s="9">
        <v>35</v>
      </c>
      <c r="C2" s="9">
        <v>50</v>
      </c>
      <c r="D2" s="9">
        <v>65</v>
      </c>
      <c r="E2" s="9">
        <v>80</v>
      </c>
      <c r="F2" s="9">
        <v>95</v>
      </c>
      <c r="G2" s="9">
        <v>95</v>
      </c>
    </row>
    <row r="3" spans="1:7" x14ac:dyDescent="0.3">
      <c r="A3" s="9" t="s">
        <v>95</v>
      </c>
      <c r="B3" s="9">
        <v>6</v>
      </c>
      <c r="C3" s="9">
        <v>9</v>
      </c>
      <c r="D3" s="9">
        <v>12</v>
      </c>
      <c r="E3" s="9">
        <v>12</v>
      </c>
      <c r="F3" s="9">
        <v>12</v>
      </c>
      <c r="G3" s="9">
        <v>12</v>
      </c>
    </row>
    <row r="4" spans="1:7" x14ac:dyDescent="0.3">
      <c r="A4" s="9" t="s">
        <v>96</v>
      </c>
      <c r="B4" s="9">
        <v>259.52823360000002</v>
      </c>
      <c r="C4" s="9">
        <v>449.95276180000002</v>
      </c>
      <c r="D4" s="9">
        <v>546.8416277</v>
      </c>
      <c r="E4" s="9">
        <v>531.69420379999997</v>
      </c>
      <c r="F4" s="9">
        <v>401.21846749999997</v>
      </c>
      <c r="G4" s="9">
        <v>284.55412030000002</v>
      </c>
    </row>
    <row r="5" spans="1:7" x14ac:dyDescent="0.3">
      <c r="A5" s="9" t="s">
        <v>97</v>
      </c>
      <c r="B5" s="9">
        <v>20</v>
      </c>
      <c r="C5" s="9">
        <v>30</v>
      </c>
      <c r="D5" s="9">
        <v>40</v>
      </c>
      <c r="E5" s="9">
        <v>50</v>
      </c>
      <c r="F5" s="29">
        <v>68</v>
      </c>
      <c r="G5" s="9">
        <v>50</v>
      </c>
    </row>
    <row r="6" spans="1:7" x14ac:dyDescent="0.3">
      <c r="A6" s="9" t="s">
        <v>83</v>
      </c>
      <c r="B6" s="9">
        <v>5</v>
      </c>
      <c r="C6" s="9">
        <v>7.5</v>
      </c>
      <c r="D6" s="9">
        <v>10</v>
      </c>
      <c r="E6" s="9">
        <v>12.5</v>
      </c>
      <c r="F6" s="9">
        <v>12.5</v>
      </c>
      <c r="G6" s="9">
        <v>12.5</v>
      </c>
    </row>
    <row r="7" spans="1:7" x14ac:dyDescent="0.3">
      <c r="A7" s="53" t="s">
        <v>98</v>
      </c>
      <c r="B7" s="9">
        <v>15</v>
      </c>
      <c r="C7" s="9">
        <v>22</v>
      </c>
      <c r="D7" s="9">
        <v>29</v>
      </c>
      <c r="E7" s="9">
        <v>36</v>
      </c>
      <c r="F7" s="9">
        <v>43</v>
      </c>
      <c r="G7" s="9">
        <v>50</v>
      </c>
    </row>
    <row r="8" spans="1:7" x14ac:dyDescent="0.3">
      <c r="A8" s="9"/>
    </row>
    <row r="10" spans="1:7" x14ac:dyDescent="0.3">
      <c r="B10" s="56"/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tabSelected="1" topLeftCell="A6" workbookViewId="0">
      <selection activeCell="A37" sqref="A37"/>
    </sheetView>
  </sheetViews>
  <sheetFormatPr defaultColWidth="8.83203125" defaultRowHeight="14" x14ac:dyDescent="0.3"/>
  <cols>
    <col min="1" max="1" width="21.83203125" customWidth="1"/>
    <col min="2" max="2" width="19" customWidth="1"/>
    <col min="3" max="3" width="15.83203125" customWidth="1"/>
    <col min="4" max="4" width="14.83203125" customWidth="1"/>
  </cols>
  <sheetData>
    <row r="1" spans="1:9" ht="70" x14ac:dyDescent="0.3">
      <c r="A1" s="9"/>
      <c r="B1" s="28" t="s">
        <v>99</v>
      </c>
      <c r="C1" s="28" t="s">
        <v>100</v>
      </c>
      <c r="D1" s="28" t="s">
        <v>101</v>
      </c>
      <c r="E1" s="28" t="s">
        <v>102</v>
      </c>
      <c r="F1" s="28" t="s">
        <v>103</v>
      </c>
      <c r="G1" s="28" t="s">
        <v>104</v>
      </c>
      <c r="H1" s="28" t="s">
        <v>105</v>
      </c>
      <c r="I1" s="28" t="s">
        <v>106</v>
      </c>
    </row>
    <row r="2" spans="1:9" x14ac:dyDescent="0.3">
      <c r="A2" s="9" t="s">
        <v>1</v>
      </c>
      <c r="B2" s="13"/>
      <c r="C2" s="13"/>
      <c r="D2" s="13"/>
      <c r="E2" s="13"/>
      <c r="F2" s="13"/>
      <c r="G2" s="13"/>
      <c r="H2" s="9"/>
      <c r="I2" s="9"/>
    </row>
    <row r="3" spans="1:9" x14ac:dyDescent="0.3">
      <c r="A3" s="9" t="s">
        <v>2</v>
      </c>
      <c r="B3" s="13"/>
      <c r="C3" s="13"/>
      <c r="D3" s="13"/>
      <c r="E3" s="13"/>
      <c r="F3" s="13"/>
      <c r="G3" s="13"/>
      <c r="H3" s="9"/>
      <c r="I3" s="9"/>
    </row>
    <row r="4" spans="1:9" x14ac:dyDescent="0.3">
      <c r="A4" s="9" t="s">
        <v>3</v>
      </c>
      <c r="B4" s="13"/>
      <c r="C4" s="13"/>
      <c r="D4" s="13"/>
      <c r="E4" s="13"/>
      <c r="F4" s="13"/>
      <c r="G4" s="13"/>
      <c r="H4" s="9"/>
      <c r="I4" s="9"/>
    </row>
    <row r="5" spans="1:9" x14ac:dyDescent="0.3">
      <c r="A5" s="9" t="s">
        <v>4</v>
      </c>
      <c r="B5" s="13"/>
      <c r="C5" s="13"/>
      <c r="D5" s="13"/>
      <c r="E5" s="13"/>
      <c r="F5" s="13"/>
      <c r="G5" s="13"/>
      <c r="H5" s="9"/>
      <c r="I5" s="9"/>
    </row>
    <row r="6" spans="1:9" x14ac:dyDescent="0.3">
      <c r="A6" s="9" t="s">
        <v>5</v>
      </c>
      <c r="B6" s="13"/>
      <c r="C6" s="13"/>
      <c r="D6" s="13"/>
      <c r="E6" s="13"/>
      <c r="F6" s="13"/>
      <c r="G6" s="13"/>
      <c r="H6" s="9"/>
      <c r="I6" s="9"/>
    </row>
    <row r="7" spans="1:9" x14ac:dyDescent="0.3">
      <c r="A7" s="9" t="s">
        <v>6</v>
      </c>
      <c r="B7" s="13"/>
      <c r="C7" s="13"/>
      <c r="D7" s="13"/>
      <c r="E7" s="13"/>
      <c r="F7" s="13"/>
      <c r="G7" s="13"/>
      <c r="H7" s="9"/>
      <c r="I7" s="9"/>
    </row>
    <row r="8" spans="1:9" x14ac:dyDescent="0.3">
      <c r="A8" s="9" t="s">
        <v>7</v>
      </c>
      <c r="B8" s="13"/>
      <c r="C8" s="13"/>
      <c r="D8" s="13"/>
      <c r="E8" s="13"/>
      <c r="F8" s="13"/>
      <c r="G8" s="13"/>
      <c r="H8" s="9"/>
      <c r="I8" s="9"/>
    </row>
    <row r="9" spans="1:9" x14ac:dyDescent="0.3">
      <c r="A9" s="9" t="s">
        <v>8</v>
      </c>
      <c r="B9" s="13"/>
      <c r="C9" s="13"/>
      <c r="D9" s="13"/>
      <c r="E9" s="13"/>
      <c r="F9" s="13"/>
      <c r="G9" s="13"/>
      <c r="H9" s="9"/>
      <c r="I9" s="9"/>
    </row>
    <row r="10" spans="1:9" x14ac:dyDescent="0.3">
      <c r="A10" s="9" t="s">
        <v>9</v>
      </c>
      <c r="B10" s="13"/>
      <c r="C10" s="13"/>
      <c r="D10" s="13"/>
      <c r="E10" s="13"/>
      <c r="F10" s="13"/>
      <c r="G10" s="13"/>
      <c r="H10" s="9"/>
      <c r="I10" s="9"/>
    </row>
    <row r="11" spans="1:9" x14ac:dyDescent="0.3">
      <c r="A11" s="9" t="s">
        <v>10</v>
      </c>
      <c r="B11" s="13"/>
      <c r="C11" s="13"/>
      <c r="D11" s="13"/>
      <c r="E11" s="13"/>
      <c r="F11" s="13"/>
      <c r="G11" s="13"/>
      <c r="H11" s="9"/>
      <c r="I11" s="9"/>
    </row>
    <row r="12" spans="1:9" x14ac:dyDescent="0.3">
      <c r="A12" s="9" t="s">
        <v>11</v>
      </c>
      <c r="B12" s="13"/>
      <c r="C12" s="13"/>
      <c r="D12" s="13"/>
      <c r="E12" s="13"/>
      <c r="F12" s="13"/>
      <c r="G12" s="13"/>
      <c r="H12" s="9"/>
      <c r="I12" s="9"/>
    </row>
    <row r="13" spans="1:9" x14ac:dyDescent="0.3">
      <c r="A13" s="9" t="s">
        <v>12</v>
      </c>
      <c r="B13" s="13"/>
      <c r="C13" s="13"/>
      <c r="D13" s="13"/>
      <c r="E13" s="13"/>
      <c r="F13" s="13"/>
      <c r="G13" s="13"/>
      <c r="H13" s="9"/>
      <c r="I13" s="9"/>
    </row>
    <row r="14" spans="1:9" x14ac:dyDescent="0.3">
      <c r="A14" s="9" t="s">
        <v>13</v>
      </c>
      <c r="B14" s="13"/>
      <c r="C14" s="13"/>
      <c r="D14" s="13"/>
      <c r="E14" s="13"/>
      <c r="F14" s="13"/>
      <c r="G14" s="13"/>
      <c r="H14" s="9"/>
      <c r="I14" s="9"/>
    </row>
    <row r="15" spans="1:9" x14ac:dyDescent="0.3">
      <c r="A15" s="9" t="s">
        <v>14</v>
      </c>
      <c r="B15" s="13"/>
      <c r="C15" s="13"/>
      <c r="D15" s="13"/>
      <c r="E15" s="13"/>
      <c r="F15" s="13"/>
      <c r="G15" s="13"/>
      <c r="H15" s="9"/>
      <c r="I15" s="9"/>
    </row>
    <row r="16" spans="1:9" x14ac:dyDescent="0.3">
      <c r="A16" s="9" t="s">
        <v>15</v>
      </c>
      <c r="B16" s="13"/>
      <c r="C16" s="13"/>
      <c r="D16" s="13"/>
      <c r="E16" s="13"/>
      <c r="F16" s="13"/>
      <c r="G16" s="13"/>
      <c r="H16" s="9"/>
      <c r="I16" s="9"/>
    </row>
    <row r="17" spans="1:9" x14ac:dyDescent="0.3">
      <c r="A17" s="9" t="s">
        <v>16</v>
      </c>
      <c r="B17" s="13"/>
      <c r="C17" s="13"/>
      <c r="D17" s="13"/>
      <c r="E17" s="13"/>
      <c r="F17" s="13"/>
      <c r="G17" s="13"/>
      <c r="H17" s="9"/>
      <c r="I17" s="9"/>
    </row>
    <row r="18" spans="1:9" x14ac:dyDescent="0.3">
      <c r="A18" s="9" t="s">
        <v>17</v>
      </c>
      <c r="B18" s="13"/>
      <c r="C18" s="13"/>
      <c r="D18" s="13"/>
      <c r="E18" s="13"/>
      <c r="F18" s="13"/>
      <c r="G18" s="13"/>
      <c r="H18" s="9"/>
      <c r="I18" s="9"/>
    </row>
    <row r="19" spans="1:9" x14ac:dyDescent="0.3">
      <c r="A19" s="9" t="s">
        <v>18</v>
      </c>
      <c r="B19" s="13"/>
      <c r="C19" s="13"/>
      <c r="D19" s="13"/>
      <c r="E19" s="13"/>
      <c r="F19" s="13"/>
      <c r="G19" s="13"/>
      <c r="H19" s="9"/>
      <c r="I19" s="9"/>
    </row>
    <row r="20" spans="1:9" x14ac:dyDescent="0.3">
      <c r="A20" s="9" t="s">
        <v>19</v>
      </c>
      <c r="B20" s="13"/>
      <c r="C20" s="13"/>
      <c r="D20" s="13"/>
      <c r="E20" s="13"/>
      <c r="F20" s="13"/>
      <c r="G20" s="13"/>
      <c r="H20" s="9"/>
      <c r="I20" s="9"/>
    </row>
    <row r="21" spans="1:9" x14ac:dyDescent="0.3">
      <c r="A21" s="9" t="s">
        <v>20</v>
      </c>
      <c r="B21" s="13"/>
      <c r="C21" s="13"/>
      <c r="D21" s="13"/>
      <c r="E21" s="13"/>
      <c r="F21" s="13"/>
      <c r="G21" s="13"/>
      <c r="H21" s="9"/>
      <c r="I21" s="9"/>
    </row>
    <row r="22" spans="1:9" x14ac:dyDescent="0.3">
      <c r="A22" s="9" t="s">
        <v>21</v>
      </c>
      <c r="B22" s="13"/>
      <c r="C22" s="13"/>
      <c r="D22" s="13"/>
      <c r="E22" s="13"/>
      <c r="F22" s="13"/>
      <c r="G22" s="13"/>
      <c r="H22" s="9"/>
      <c r="I22" s="9"/>
    </row>
    <row r="23" spans="1:9" x14ac:dyDescent="0.3">
      <c r="A23" s="9" t="s">
        <v>22</v>
      </c>
      <c r="B23" s="13"/>
      <c r="C23" s="13"/>
      <c r="D23" s="13"/>
      <c r="E23" s="13"/>
      <c r="F23" s="13"/>
      <c r="G23" s="13"/>
      <c r="H23" s="9"/>
      <c r="I23" s="9"/>
    </row>
    <row r="24" spans="1:9" x14ac:dyDescent="0.3">
      <c r="A24" s="9" t="s">
        <v>23</v>
      </c>
      <c r="B24" s="13"/>
      <c r="C24" s="13"/>
      <c r="D24" s="13"/>
      <c r="E24" s="13"/>
      <c r="F24" s="13"/>
      <c r="G24" s="13"/>
      <c r="H24" s="9"/>
      <c r="I24" s="9"/>
    </row>
    <row r="25" spans="1:9" x14ac:dyDescent="0.3">
      <c r="A25" s="9" t="s">
        <v>24</v>
      </c>
      <c r="B25" s="13"/>
      <c r="C25" s="13"/>
      <c r="D25" s="13"/>
      <c r="E25" s="13"/>
      <c r="F25" s="13"/>
      <c r="G25" s="13"/>
      <c r="H25" s="9"/>
      <c r="I25" s="9"/>
    </row>
    <row r="26" spans="1:9" x14ac:dyDescent="0.3">
      <c r="A26" s="9" t="s">
        <v>25</v>
      </c>
      <c r="B26" s="13"/>
      <c r="C26" s="13"/>
      <c r="D26" s="13"/>
      <c r="E26" s="13"/>
      <c r="F26" s="13"/>
      <c r="G26" s="13"/>
      <c r="H26" s="9"/>
      <c r="I26" s="9"/>
    </row>
    <row r="27" spans="1:9" x14ac:dyDescent="0.3">
      <c r="A27" s="9" t="s">
        <v>26</v>
      </c>
      <c r="B27" s="13"/>
      <c r="C27" s="13"/>
      <c r="D27" s="13"/>
      <c r="E27" s="13"/>
      <c r="F27" s="13"/>
      <c r="G27" s="13"/>
      <c r="H27" s="9"/>
      <c r="I27" s="9"/>
    </row>
    <row r="28" spans="1:9" x14ac:dyDescent="0.3">
      <c r="A28" s="9" t="s">
        <v>27</v>
      </c>
      <c r="B28" s="13"/>
      <c r="C28" s="13"/>
      <c r="D28" s="13"/>
      <c r="E28" s="13"/>
      <c r="F28" s="13"/>
      <c r="G28" s="13"/>
      <c r="H28" s="9"/>
      <c r="I28" s="9"/>
    </row>
    <row r="29" spans="1:9" x14ac:dyDescent="0.3">
      <c r="A29" s="9" t="s">
        <v>28</v>
      </c>
      <c r="B29" s="13"/>
      <c r="C29" s="13"/>
      <c r="D29" s="13"/>
      <c r="E29" s="13"/>
      <c r="F29" s="13"/>
      <c r="G29" s="13"/>
      <c r="H29" s="9"/>
      <c r="I29" s="9"/>
    </row>
    <row r="30" spans="1:9" x14ac:dyDescent="0.3">
      <c r="A30" s="9" t="s">
        <v>29</v>
      </c>
      <c r="B30" s="13"/>
      <c r="C30" s="13"/>
      <c r="D30" s="13"/>
      <c r="E30" s="13"/>
      <c r="F30" s="13"/>
      <c r="G30" s="13"/>
      <c r="H30" s="9"/>
      <c r="I30" s="9"/>
    </row>
    <row r="31" spans="1:9" x14ac:dyDescent="0.3">
      <c r="A31" s="9" t="s">
        <v>30</v>
      </c>
      <c r="B31" s="13"/>
      <c r="C31" s="13"/>
      <c r="D31" s="13"/>
      <c r="E31" s="13"/>
      <c r="F31" s="13"/>
      <c r="G31" s="13"/>
      <c r="H31" s="9"/>
      <c r="I31" s="9"/>
    </row>
    <row r="32" spans="1:9" x14ac:dyDescent="0.3">
      <c r="A32" s="9" t="s">
        <v>31</v>
      </c>
      <c r="B32" s="13"/>
      <c r="C32" s="13"/>
      <c r="D32" s="13"/>
      <c r="E32" s="13"/>
      <c r="F32" s="13"/>
      <c r="G32" s="13"/>
      <c r="H32" s="9"/>
      <c r="I32" s="9"/>
    </row>
    <row r="35" spans="1:1" x14ac:dyDescent="0.3">
      <c r="A35" s="59" t="s">
        <v>172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zoomScale="150" zoomScaleNormal="150" workbookViewId="0">
      <selection activeCell="D19" sqref="D19"/>
    </sheetView>
  </sheetViews>
  <sheetFormatPr defaultColWidth="8.83203125" defaultRowHeight="14" x14ac:dyDescent="0.3"/>
  <cols>
    <col min="1" max="1" width="14.33203125" customWidth="1"/>
  </cols>
  <sheetData>
    <row r="1" spans="1:7" x14ac:dyDescent="0.3">
      <c r="A1" s="24" t="s">
        <v>107</v>
      </c>
      <c r="B1" s="20" t="s">
        <v>85</v>
      </c>
      <c r="C1" s="20" t="s">
        <v>86</v>
      </c>
      <c r="D1" s="20" t="s">
        <v>87</v>
      </c>
      <c r="E1" s="20" t="s">
        <v>88</v>
      </c>
      <c r="F1" s="20" t="s">
        <v>89</v>
      </c>
      <c r="G1" s="20" t="s">
        <v>90</v>
      </c>
    </row>
    <row r="2" spans="1:7" x14ac:dyDescent="0.3">
      <c r="A2" s="25" t="s">
        <v>34</v>
      </c>
      <c r="B2" s="26">
        <v>0</v>
      </c>
      <c r="C2" s="26">
        <v>0</v>
      </c>
      <c r="D2" s="26">
        <v>0</v>
      </c>
      <c r="E2" s="26">
        <v>0</v>
      </c>
      <c r="F2" s="26">
        <v>0</v>
      </c>
      <c r="G2" s="26">
        <v>0</v>
      </c>
    </row>
    <row r="3" spans="1:7" x14ac:dyDescent="0.3">
      <c r="A3" s="25" t="s">
        <v>35</v>
      </c>
      <c r="B3" s="26">
        <v>3000</v>
      </c>
      <c r="C3" s="26">
        <v>4285.7142857142899</v>
      </c>
      <c r="D3" s="26">
        <v>5571.4285714285697</v>
      </c>
      <c r="E3" s="26">
        <v>6857.1428571428596</v>
      </c>
      <c r="F3" s="26">
        <v>8142.8571428571404</v>
      </c>
      <c r="G3" s="26">
        <v>8142.8571428571404</v>
      </c>
    </row>
    <row r="4" spans="1:7" x14ac:dyDescent="0.3">
      <c r="A4" s="25" t="s">
        <v>36</v>
      </c>
      <c r="B4" s="26">
        <v>15000</v>
      </c>
      <c r="C4" s="26">
        <v>22499.9437500001</v>
      </c>
      <c r="D4" s="26">
        <v>29999.925000000101</v>
      </c>
      <c r="E4" s="26">
        <v>37499.906250000102</v>
      </c>
      <c r="F4" s="26">
        <v>37499.906250000102</v>
      </c>
      <c r="G4" s="26">
        <v>37499.906250000102</v>
      </c>
    </row>
    <row r="5" spans="1:7" x14ac:dyDescent="0.3">
      <c r="A5" s="25" t="s">
        <v>42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</row>
    <row r="6" spans="1:7" x14ac:dyDescent="0.3">
      <c r="A6" s="52" t="s">
        <v>91</v>
      </c>
      <c r="B6" s="26">
        <v>800</v>
      </c>
      <c r="C6" s="26">
        <v>1173.3333333333401</v>
      </c>
      <c r="D6" s="26">
        <v>1546.6666666666599</v>
      </c>
      <c r="E6" s="26">
        <v>1920</v>
      </c>
      <c r="F6" s="26">
        <v>2293.3333333333399</v>
      </c>
      <c r="G6" s="26">
        <v>2666.6666666666702</v>
      </c>
    </row>
    <row r="7" spans="1:7" x14ac:dyDescent="0.25">
      <c r="A7" s="24" t="s">
        <v>92</v>
      </c>
      <c r="B7" s="27">
        <v>100</v>
      </c>
      <c r="C7" s="26">
        <v>100</v>
      </c>
      <c r="D7" s="26">
        <v>100</v>
      </c>
      <c r="E7" s="26">
        <v>100</v>
      </c>
      <c r="F7" s="26">
        <v>100</v>
      </c>
      <c r="G7" s="26">
        <v>100</v>
      </c>
    </row>
    <row r="8" spans="1:7" x14ac:dyDescent="0.25">
      <c r="A8" s="24" t="s">
        <v>45</v>
      </c>
      <c r="B8" s="26">
        <v>2400</v>
      </c>
      <c r="C8" s="26">
        <v>3520.00000000001</v>
      </c>
      <c r="D8" s="26">
        <v>4639.99999999999</v>
      </c>
      <c r="E8" s="26">
        <v>5760</v>
      </c>
      <c r="F8" s="26">
        <v>6880</v>
      </c>
      <c r="G8" s="26">
        <v>7999.99999999999</v>
      </c>
    </row>
    <row r="9" spans="1:7" x14ac:dyDescent="0.3">
      <c r="A9" s="25" t="s">
        <v>108</v>
      </c>
      <c r="B9" s="26">
        <v>6000</v>
      </c>
      <c r="C9" s="26">
        <v>6000</v>
      </c>
      <c r="D9" s="26">
        <v>6000</v>
      </c>
      <c r="E9" s="26">
        <v>6000</v>
      </c>
      <c r="F9" s="26">
        <v>6000</v>
      </c>
      <c r="G9" s="26">
        <v>6000</v>
      </c>
    </row>
    <row r="10" spans="1:7" x14ac:dyDescent="0.3">
      <c r="A10" s="25" t="s">
        <v>38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>
      <selection activeCell="A9" sqref="A9"/>
    </sheetView>
  </sheetViews>
  <sheetFormatPr defaultColWidth="8.83203125" defaultRowHeight="14" x14ac:dyDescent="0.3"/>
  <cols>
    <col min="1" max="1" width="21.58203125" customWidth="1"/>
    <col min="3" max="3" width="16.83203125" customWidth="1"/>
  </cols>
  <sheetData>
    <row r="1" spans="1:3" x14ac:dyDescent="0.3">
      <c r="A1" s="1" t="s">
        <v>109</v>
      </c>
      <c r="B1" t="s">
        <v>110</v>
      </c>
      <c r="C1" t="s">
        <v>111</v>
      </c>
    </row>
    <row r="2" spans="1:3" x14ac:dyDescent="0.25">
      <c r="A2" s="2" t="s">
        <v>32</v>
      </c>
      <c r="B2">
        <v>50</v>
      </c>
      <c r="C2">
        <f>0.06/(1-1.06^(-B2))</f>
        <v>6.3444286373866204E-2</v>
      </c>
    </row>
    <row r="3" spans="1:3" x14ac:dyDescent="0.25">
      <c r="A3" s="2" t="s">
        <v>33</v>
      </c>
      <c r="B3">
        <v>40</v>
      </c>
      <c r="C3">
        <f>0.06/(1-1.06^(-B3))</f>
        <v>6.6461535920675496E-2</v>
      </c>
    </row>
    <row r="4" spans="1:3" x14ac:dyDescent="0.25">
      <c r="A4" s="2" t="s">
        <v>34</v>
      </c>
      <c r="B4">
        <v>25</v>
      </c>
      <c r="C4">
        <f>0.06/(1-1.06^(-B4))</f>
        <v>7.8226718212273894E-2</v>
      </c>
    </row>
    <row r="5" spans="1:3" x14ac:dyDescent="0.25">
      <c r="A5" s="2" t="s">
        <v>35</v>
      </c>
      <c r="B5">
        <v>25</v>
      </c>
      <c r="C5">
        <f t="shared" ref="C5:C16" si="0">0.06/(1-1.06^(-B5))</f>
        <v>7.8226718212273894E-2</v>
      </c>
    </row>
    <row r="6" spans="1:3" x14ac:dyDescent="0.25">
      <c r="A6" s="2" t="s">
        <v>36</v>
      </c>
      <c r="B6">
        <v>25</v>
      </c>
      <c r="C6">
        <f t="shared" si="0"/>
        <v>7.8226718212273894E-2</v>
      </c>
    </row>
    <row r="7" spans="1:3" x14ac:dyDescent="0.25">
      <c r="A7" s="2" t="s">
        <v>108</v>
      </c>
      <c r="B7">
        <v>50</v>
      </c>
      <c r="C7">
        <f t="shared" si="0"/>
        <v>6.3444286373866204E-2</v>
      </c>
    </row>
    <row r="8" spans="1:3" x14ac:dyDescent="0.25">
      <c r="A8" s="2" t="s">
        <v>38</v>
      </c>
      <c r="B8">
        <v>50</v>
      </c>
      <c r="C8">
        <f t="shared" si="0"/>
        <v>6.3444286373866204E-2</v>
      </c>
    </row>
    <row r="9" spans="1:3" x14ac:dyDescent="0.25">
      <c r="A9" s="54" t="s">
        <v>112</v>
      </c>
      <c r="B9">
        <v>15</v>
      </c>
      <c r="C9">
        <f t="shared" si="0"/>
        <v>0.10296276395531299</v>
      </c>
    </row>
    <row r="10" spans="1:3" x14ac:dyDescent="0.25">
      <c r="A10" s="2" t="s">
        <v>40</v>
      </c>
      <c r="B10">
        <v>40</v>
      </c>
      <c r="C10">
        <f t="shared" si="0"/>
        <v>6.6461535920675496E-2</v>
      </c>
    </row>
    <row r="11" spans="1:3" x14ac:dyDescent="0.25">
      <c r="A11" s="2" t="s">
        <v>41</v>
      </c>
      <c r="B11">
        <v>40</v>
      </c>
      <c r="C11">
        <f t="shared" si="0"/>
        <v>6.6461535920675496E-2</v>
      </c>
    </row>
    <row r="12" spans="1:3" x14ac:dyDescent="0.25">
      <c r="A12" s="2" t="s">
        <v>42</v>
      </c>
      <c r="B12">
        <v>25</v>
      </c>
      <c r="C12">
        <f t="shared" si="0"/>
        <v>7.8226718212273894E-2</v>
      </c>
    </row>
    <row r="13" spans="1:3" x14ac:dyDescent="0.25">
      <c r="A13" s="2" t="s">
        <v>43</v>
      </c>
      <c r="B13">
        <v>40</v>
      </c>
      <c r="C13">
        <f t="shared" si="0"/>
        <v>6.6461535920675496E-2</v>
      </c>
    </row>
    <row r="14" spans="1:3" x14ac:dyDescent="0.25">
      <c r="A14" s="2" t="s">
        <v>44</v>
      </c>
      <c r="B14">
        <v>40</v>
      </c>
      <c r="C14">
        <f t="shared" si="0"/>
        <v>6.6461535920675496E-2</v>
      </c>
    </row>
    <row r="15" spans="1:3" x14ac:dyDescent="0.25">
      <c r="A15" s="2" t="s">
        <v>45</v>
      </c>
      <c r="B15">
        <v>50</v>
      </c>
      <c r="C15">
        <f t="shared" si="0"/>
        <v>6.3444286373866204E-2</v>
      </c>
    </row>
    <row r="16" spans="1:3" x14ac:dyDescent="0.3">
      <c r="A16" t="s">
        <v>113</v>
      </c>
      <c r="B16">
        <v>35</v>
      </c>
      <c r="C16">
        <f t="shared" si="0"/>
        <v>6.8973858979663197E-2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5"/>
  <sheetViews>
    <sheetView workbookViewId="0">
      <selection activeCell="D26" sqref="D26"/>
    </sheetView>
  </sheetViews>
  <sheetFormatPr defaultColWidth="8.83203125" defaultRowHeight="14" x14ac:dyDescent="0.3"/>
  <cols>
    <col min="1" max="1" width="15.83203125" customWidth="1"/>
    <col min="2" max="8" width="9.08203125" bestFit="1" customWidth="1"/>
    <col min="9" max="13" width="12.6640625" bestFit="1" customWidth="1"/>
    <col min="14" max="19" width="9.08203125" bestFit="1" customWidth="1"/>
  </cols>
  <sheetData>
    <row r="1" spans="1:19" x14ac:dyDescent="0.3">
      <c r="A1" s="1" t="s">
        <v>109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121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19" x14ac:dyDescent="0.3">
      <c r="A2" s="2" t="s">
        <v>32</v>
      </c>
      <c r="B2" s="57">
        <v>3661.5669781931401</v>
      </c>
      <c r="C2" s="57">
        <v>3341.7313084112102</v>
      </c>
      <c r="D2" s="57">
        <v>3113.27725856698</v>
      </c>
      <c r="E2" s="57">
        <v>3006.1401869158899</v>
      </c>
      <c r="F2" s="57">
        <v>2899.0031152647998</v>
      </c>
      <c r="G2" s="57">
        <v>2791.8660436137102</v>
      </c>
      <c r="H2" s="57">
        <v>3682.0490654205601</v>
      </c>
      <c r="I2" s="57">
        <v>3463.0482866043599</v>
      </c>
      <c r="J2" s="57">
        <v>3288.1627725856702</v>
      </c>
      <c r="K2" s="57">
        <v>3174.7235202492102</v>
      </c>
      <c r="L2" s="57">
        <v>3061.2842679127698</v>
      </c>
      <c r="M2" s="57">
        <v>2947.8450155763198</v>
      </c>
      <c r="N2" s="57">
        <v>3702.53115264797</v>
      </c>
      <c r="O2" s="57">
        <v>3584.36526479751</v>
      </c>
      <c r="P2" s="57">
        <v>3464.6238317756902</v>
      </c>
      <c r="Q2" s="57">
        <v>3344.8823987538799</v>
      </c>
      <c r="R2" s="57">
        <v>3225.1409657320801</v>
      </c>
      <c r="S2" s="57">
        <v>3105.3995327102698</v>
      </c>
    </row>
    <row r="3" spans="1:19" x14ac:dyDescent="0.3">
      <c r="A3" s="2" t="s">
        <v>33</v>
      </c>
      <c r="B3" s="57">
        <v>2162.6673706441402</v>
      </c>
      <c r="C3" s="57">
        <v>2097.1319957761398</v>
      </c>
      <c r="D3" s="57">
        <v>2049.24076029567</v>
      </c>
      <c r="E3" s="57">
        <v>2006.3907074973599</v>
      </c>
      <c r="F3" s="57">
        <v>1963.54065469905</v>
      </c>
      <c r="G3" s="57">
        <v>1925.7317845829</v>
      </c>
      <c r="H3" s="57">
        <v>2162.6673706441402</v>
      </c>
      <c r="I3" s="57">
        <v>2097.1319957761398</v>
      </c>
      <c r="J3" s="57">
        <v>2049.24076029567</v>
      </c>
      <c r="K3" s="57">
        <v>2006.3907074973599</v>
      </c>
      <c r="L3" s="57">
        <v>1963.54065469905</v>
      </c>
      <c r="M3" s="57">
        <v>1925.7317845829</v>
      </c>
      <c r="N3" s="57">
        <v>2162.6673706441402</v>
      </c>
      <c r="O3" s="57">
        <v>2097.1319957761398</v>
      </c>
      <c r="P3" s="57">
        <v>2049.24076029567</v>
      </c>
      <c r="Q3" s="57">
        <v>2006.3907074973599</v>
      </c>
      <c r="R3" s="57">
        <v>1963.54065469905</v>
      </c>
      <c r="S3" s="57">
        <v>1925.7317845829</v>
      </c>
    </row>
    <row r="4" spans="1:19" x14ac:dyDescent="0.3">
      <c r="A4" s="2" t="s">
        <v>34</v>
      </c>
      <c r="B4" s="57">
        <v>13475.7732667653</v>
      </c>
      <c r="C4" s="57">
        <v>12323.841921920901</v>
      </c>
      <c r="D4" s="57">
        <v>11528.4757547836</v>
      </c>
      <c r="E4" s="57">
        <v>10951.2388766849</v>
      </c>
      <c r="F4" s="57">
        <v>10497.882636251201</v>
      </c>
      <c r="G4" s="57">
        <v>10124.5174615224</v>
      </c>
      <c r="H4" s="57">
        <v>14140.934273483599</v>
      </c>
      <c r="I4" s="57">
        <v>13128.296756845601</v>
      </c>
      <c r="J4" s="57">
        <v>12414.926841803999</v>
      </c>
      <c r="K4" s="57">
        <v>11897.198731529599</v>
      </c>
      <c r="L4" s="57">
        <v>11490.5800996538</v>
      </c>
      <c r="M4" s="57">
        <v>11155.706058010301</v>
      </c>
      <c r="N4" s="57">
        <v>15544.4162371975</v>
      </c>
      <c r="O4" s="57">
        <v>14890.141564342301</v>
      </c>
      <c r="P4" s="57">
        <v>14389.626455868</v>
      </c>
      <c r="Q4" s="57">
        <v>14026.3776899607</v>
      </c>
      <c r="R4" s="57">
        <v>13741.0856355164</v>
      </c>
      <c r="S4" s="57">
        <v>13506.131071629699</v>
      </c>
    </row>
    <row r="5" spans="1:19" x14ac:dyDescent="0.3">
      <c r="A5" s="2" t="s">
        <v>35</v>
      </c>
      <c r="B5" s="57">
        <v>5619.4254445964398</v>
      </c>
      <c r="C5" s="57">
        <v>3661.5238912668001</v>
      </c>
      <c r="D5" s="57">
        <v>3432.6786480626201</v>
      </c>
      <c r="E5" s="57">
        <v>3203.8334048584502</v>
      </c>
      <c r="F5" s="57">
        <v>2974.9881616542698</v>
      </c>
      <c r="G5" s="57">
        <v>2746.1429184500998</v>
      </c>
      <c r="H5" s="57">
        <v>6269.2202462380301</v>
      </c>
      <c r="I5" s="57">
        <v>4969.2109952906503</v>
      </c>
      <c r="J5" s="57">
        <v>4720.7504455261196</v>
      </c>
      <c r="K5" s="57">
        <v>4472.2898957615898</v>
      </c>
      <c r="L5" s="57">
        <v>4223.82934599705</v>
      </c>
      <c r="M5" s="57">
        <v>3975.3687962325198</v>
      </c>
      <c r="N5" s="57">
        <v>6399.1792065663503</v>
      </c>
      <c r="O5" s="57">
        <v>5230.74841609542</v>
      </c>
      <c r="P5" s="57">
        <v>5099.9797056930402</v>
      </c>
      <c r="Q5" s="57">
        <v>4969.2109952906503</v>
      </c>
      <c r="R5" s="57">
        <v>4838.4422848882696</v>
      </c>
      <c r="S5" s="57">
        <v>4707.6735744858797</v>
      </c>
    </row>
    <row r="6" spans="1:19" x14ac:dyDescent="0.3">
      <c r="A6" s="2" t="s">
        <v>36</v>
      </c>
      <c r="B6" s="57">
        <v>3181.0048801029102</v>
      </c>
      <c r="C6" s="57">
        <v>2138.4772263701202</v>
      </c>
      <c r="D6" s="57">
        <v>2006.9724837710601</v>
      </c>
      <c r="E6" s="57">
        <v>1875.4677411719999</v>
      </c>
      <c r="F6" s="57">
        <v>1743.96299857294</v>
      </c>
      <c r="G6" s="57">
        <v>1612.4582559738899</v>
      </c>
      <c r="H6" s="57">
        <v>3386.3352267402702</v>
      </c>
      <c r="I6" s="57">
        <v>2602.24115990068</v>
      </c>
      <c r="J6" s="57">
        <v>2486.3001765180402</v>
      </c>
      <c r="K6" s="57">
        <v>2370.3591931353999</v>
      </c>
      <c r="L6" s="57">
        <v>2254.41820975276</v>
      </c>
      <c r="M6" s="57">
        <v>2138.4772263701202</v>
      </c>
      <c r="N6" s="57">
        <v>3989.8831220554798</v>
      </c>
      <c r="O6" s="57">
        <v>3965.4285824584399</v>
      </c>
      <c r="P6" s="57">
        <v>3624.6317268190201</v>
      </c>
      <c r="Q6" s="57">
        <v>3283.8348711795702</v>
      </c>
      <c r="R6" s="57">
        <v>2943.0380155401299</v>
      </c>
      <c r="S6" s="57">
        <v>2602.24115990068</v>
      </c>
    </row>
    <row r="7" spans="1:19" x14ac:dyDescent="0.3">
      <c r="A7" s="2" t="s">
        <v>108</v>
      </c>
      <c r="B7" s="57">
        <v>14561</v>
      </c>
      <c r="C7" s="57">
        <v>13918.877915837</v>
      </c>
      <c r="D7" s="57">
        <v>13288.865744693599</v>
      </c>
      <c r="E7" s="57">
        <v>12658.853573550199</v>
      </c>
      <c r="F7" s="57">
        <v>12658.853573550199</v>
      </c>
      <c r="G7" s="57">
        <v>12658.853573550199</v>
      </c>
      <c r="H7" s="57">
        <v>14561</v>
      </c>
      <c r="I7" s="57">
        <v>14651.45</v>
      </c>
      <c r="J7" s="57">
        <v>14651.45</v>
      </c>
      <c r="K7" s="57">
        <v>14065.3942056995</v>
      </c>
      <c r="L7" s="57">
        <v>14065.3942056995</v>
      </c>
      <c r="M7" s="57">
        <v>14065.3942056995</v>
      </c>
      <c r="N7" s="57">
        <v>14561</v>
      </c>
      <c r="O7" s="57">
        <v>14651.453307253099</v>
      </c>
      <c r="P7" s="57">
        <v>14651.453307253099</v>
      </c>
      <c r="Q7" s="57">
        <v>14651.453307253099</v>
      </c>
      <c r="R7" s="57">
        <v>14651.453307253099</v>
      </c>
      <c r="S7" s="57">
        <v>14651.453307253099</v>
      </c>
    </row>
    <row r="8" spans="1:19" x14ac:dyDescent="0.3">
      <c r="A8" s="2" t="s">
        <v>38</v>
      </c>
      <c r="B8" s="57">
        <v>15137.739148916</v>
      </c>
      <c r="C8" s="57">
        <v>14977.9646171941</v>
      </c>
      <c r="D8" s="57">
        <v>14472.7890651179</v>
      </c>
      <c r="E8" s="57">
        <v>13967.6302391917</v>
      </c>
      <c r="F8" s="57">
        <v>13462.4631356259</v>
      </c>
      <c r="G8" s="57">
        <v>12957.287836855499</v>
      </c>
      <c r="H8" s="57">
        <v>15137.739148916</v>
      </c>
      <c r="I8" s="57">
        <v>14977.9646171941</v>
      </c>
      <c r="J8" s="57">
        <v>14472.7890651179</v>
      </c>
      <c r="K8" s="57">
        <v>13967.6302391917</v>
      </c>
      <c r="L8" s="57">
        <v>13462.4631356259</v>
      </c>
      <c r="M8" s="57">
        <v>12957.287836855499</v>
      </c>
      <c r="N8" s="57">
        <v>15137.739148916</v>
      </c>
      <c r="O8" s="57">
        <v>14977.9646171941</v>
      </c>
      <c r="P8" s="57">
        <v>14472.7890651179</v>
      </c>
      <c r="Q8" s="57">
        <v>13967.6302391917</v>
      </c>
      <c r="R8" s="57">
        <v>13462.4631356259</v>
      </c>
      <c r="S8" s="57">
        <v>12957.287836855499</v>
      </c>
    </row>
    <row r="9" spans="1:19" x14ac:dyDescent="0.3">
      <c r="A9" s="54" t="s">
        <v>112</v>
      </c>
      <c r="B9" s="57">
        <v>3254.6503732139299</v>
      </c>
      <c r="C9" s="57">
        <v>2201.6752524682702</v>
      </c>
      <c r="D9" s="57">
        <v>2064.0705491889998</v>
      </c>
      <c r="E9" s="57">
        <v>1926.46584590973</v>
      </c>
      <c r="F9" s="57">
        <v>1788.8611426304701</v>
      </c>
      <c r="G9" s="57">
        <v>1651.2564393512</v>
      </c>
      <c r="H9" s="58">
        <v>2176.19087918688</v>
      </c>
      <c r="I9" s="58">
        <v>1876.4794748880299</v>
      </c>
      <c r="J9" s="58">
        <v>1760.3245322688299</v>
      </c>
      <c r="K9" s="58">
        <v>1643.04456508832</v>
      </c>
      <c r="L9" s="58">
        <v>1525.76459790782</v>
      </c>
      <c r="M9" s="58">
        <v>1408.7995583577499</v>
      </c>
      <c r="N9" s="57">
        <v>4248.84316445682</v>
      </c>
      <c r="O9" s="57">
        <v>3800.3030795099799</v>
      </c>
      <c r="P9" s="57">
        <v>3800.3030795099799</v>
      </c>
      <c r="Q9" s="57">
        <v>3800.3030795099799</v>
      </c>
      <c r="R9" s="57">
        <v>3800.3030795099799</v>
      </c>
      <c r="S9" s="57">
        <v>3800.3030795099799</v>
      </c>
    </row>
    <row r="10" spans="1:19" x14ac:dyDescent="0.3">
      <c r="A10" s="2" t="s">
        <v>40</v>
      </c>
      <c r="B10" s="57">
        <v>7138.5317631806402</v>
      </c>
      <c r="C10" s="57">
        <v>6084.6248919619702</v>
      </c>
      <c r="D10" s="57">
        <v>5065.3290838375096</v>
      </c>
      <c r="E10" s="57">
        <v>4381.7605877268797</v>
      </c>
      <c r="F10" s="57">
        <v>4189.66918755402</v>
      </c>
      <c r="G10" s="57">
        <v>3995.8472342264399</v>
      </c>
      <c r="H10" s="57">
        <v>7219.8677614520302</v>
      </c>
      <c r="I10" s="57">
        <v>6550.1436905790797</v>
      </c>
      <c r="J10" s="57">
        <v>5897.7251512532403</v>
      </c>
      <c r="K10" s="57">
        <v>5414.9008210890097</v>
      </c>
      <c r="L10" s="57">
        <v>5176.0844857389702</v>
      </c>
      <c r="M10" s="57">
        <v>4937.2681503889298</v>
      </c>
      <c r="N10" s="57">
        <v>7301.2037597234103</v>
      </c>
      <c r="O10" s="57">
        <v>7017.39304235091</v>
      </c>
      <c r="P10" s="57">
        <v>6731.8517718236699</v>
      </c>
      <c r="Q10" s="57">
        <v>6448.0410544511697</v>
      </c>
      <c r="R10" s="57">
        <v>6162.4997839239304</v>
      </c>
      <c r="S10" s="57">
        <v>5878.6890665514302</v>
      </c>
    </row>
    <row r="11" spans="1:19" x14ac:dyDescent="0.3">
      <c r="A11" s="2" t="s">
        <v>41</v>
      </c>
      <c r="B11" s="57">
        <v>4434.0725302209203</v>
      </c>
      <c r="C11" s="57">
        <v>3969.8374322634299</v>
      </c>
      <c r="D11" s="57">
        <v>3508.1117132138402</v>
      </c>
      <c r="E11" s="57">
        <v>3151.7799082951101</v>
      </c>
      <c r="F11" s="57">
        <v>3011.25468945392</v>
      </c>
      <c r="G11" s="57">
        <v>2880.7669862442499</v>
      </c>
      <c r="H11" s="57">
        <v>4933.4389328887</v>
      </c>
      <c r="I11" s="57">
        <v>4579.61650687786</v>
      </c>
      <c r="J11" s="57">
        <v>4243.3597332221798</v>
      </c>
      <c r="K11" s="57">
        <v>3959.79991663192</v>
      </c>
      <c r="L11" s="57">
        <v>3784.1433930804401</v>
      </c>
      <c r="M11" s="57">
        <v>3621.0337640683501</v>
      </c>
      <c r="N11" s="57">
        <v>5432.8053355564798</v>
      </c>
      <c r="O11" s="57">
        <v>5189.3955814922801</v>
      </c>
      <c r="P11" s="57">
        <v>4976.0983743226298</v>
      </c>
      <c r="Q11" s="57">
        <v>4767.8199249687304</v>
      </c>
      <c r="R11" s="57">
        <v>4557.0320967069501</v>
      </c>
      <c r="S11" s="57">
        <v>4358.7911629845703</v>
      </c>
    </row>
    <row r="12" spans="1:19" x14ac:dyDescent="0.3">
      <c r="A12" s="2" t="s">
        <v>42</v>
      </c>
      <c r="B12" s="57">
        <v>3101.59232253656</v>
      </c>
      <c r="C12" s="57">
        <v>1834.95228476228</v>
      </c>
      <c r="D12" s="57">
        <v>1716.7021734544601</v>
      </c>
      <c r="E12" s="57">
        <v>1598.45206214665</v>
      </c>
      <c r="F12" s="57">
        <v>1480.20195083884</v>
      </c>
      <c r="G12" s="57">
        <v>1361.9518395310199</v>
      </c>
      <c r="H12" s="57">
        <v>3347.4313501673701</v>
      </c>
      <c r="I12" s="57">
        <v>2390.2081036166601</v>
      </c>
      <c r="J12" s="57">
        <v>2251.3941489030599</v>
      </c>
      <c r="K12" s="57">
        <v>2112.5801941894701</v>
      </c>
      <c r="L12" s="57">
        <v>1973.76623947587</v>
      </c>
      <c r="M12" s="57">
        <v>1834.95228476228</v>
      </c>
      <c r="N12" s="57">
        <v>3994.7788582581202</v>
      </c>
      <c r="O12" s="57">
        <v>3852.3171680411001</v>
      </c>
      <c r="P12" s="57">
        <v>3486.7899019349902</v>
      </c>
      <c r="Q12" s="57">
        <v>3121.2626358288599</v>
      </c>
      <c r="R12" s="57">
        <v>2755.73536972275</v>
      </c>
      <c r="S12" s="57">
        <v>2390.2081036166601</v>
      </c>
    </row>
    <row r="13" spans="1:19" x14ac:dyDescent="0.3">
      <c r="A13" s="2" t="s">
        <v>43</v>
      </c>
      <c r="B13" s="57">
        <v>10194.363031687401</v>
      </c>
      <c r="C13" s="57">
        <v>9978.9358243518709</v>
      </c>
      <c r="D13" s="57">
        <v>9644.9980335805303</v>
      </c>
      <c r="E13" s="57">
        <v>9311.0727119516305</v>
      </c>
      <c r="F13" s="57">
        <v>8977.1424455218603</v>
      </c>
      <c r="G13" s="57">
        <v>8643.2054358245005</v>
      </c>
      <c r="H13" s="57">
        <v>10194.363031687401</v>
      </c>
      <c r="I13" s="57">
        <v>9978.9358243518709</v>
      </c>
      <c r="J13" s="57">
        <v>9644.9980335805303</v>
      </c>
      <c r="K13" s="57">
        <v>9311.0727119516305</v>
      </c>
      <c r="L13" s="57">
        <v>8977.1424455218603</v>
      </c>
      <c r="M13" s="57">
        <v>8643.2054358245005</v>
      </c>
      <c r="N13" s="57">
        <v>10194.363031687401</v>
      </c>
      <c r="O13" s="57">
        <v>9978.9358243518709</v>
      </c>
      <c r="P13" s="57">
        <v>9644.9980335805303</v>
      </c>
      <c r="Q13" s="57">
        <v>9311.0727119516305</v>
      </c>
      <c r="R13" s="57">
        <v>8977.1424455218603</v>
      </c>
      <c r="S13" s="57">
        <v>8643.2054358245005</v>
      </c>
    </row>
    <row r="14" spans="1:19" x14ac:dyDescent="0.3">
      <c r="A14" s="2" t="s">
        <v>44</v>
      </c>
      <c r="B14" s="57">
        <v>18879.105424351001</v>
      </c>
      <c r="C14" s="57">
        <v>17754.40977183</v>
      </c>
      <c r="D14" s="57">
        <v>16516.118500441698</v>
      </c>
      <c r="E14" s="57">
        <v>15484.268210075799</v>
      </c>
      <c r="F14" s="57">
        <v>14875.099927806101</v>
      </c>
      <c r="G14" s="57">
        <v>14285.584760543101</v>
      </c>
      <c r="H14" s="57">
        <v>19857.1833734965</v>
      </c>
      <c r="I14" s="57">
        <v>18948.7461619926</v>
      </c>
      <c r="J14" s="57">
        <v>17956.203119032802</v>
      </c>
      <c r="K14" s="57">
        <v>17066.8868011554</v>
      </c>
      <c r="L14" s="57">
        <v>16388.909014925801</v>
      </c>
      <c r="M14" s="57">
        <v>15735.499308271301</v>
      </c>
      <c r="N14" s="57">
        <v>20835.261322642</v>
      </c>
      <c r="O14" s="57">
        <v>20143.082552155101</v>
      </c>
      <c r="P14" s="57">
        <v>19391.3727730553</v>
      </c>
      <c r="Q14" s="57">
        <v>18649.5053922351</v>
      </c>
      <c r="R14" s="57">
        <v>17902.718102045401</v>
      </c>
      <c r="S14" s="57">
        <v>17180.498891431002</v>
      </c>
    </row>
    <row r="15" spans="1:19" x14ac:dyDescent="0.3">
      <c r="A15" s="2" t="s">
        <v>45</v>
      </c>
      <c r="B15" s="57">
        <v>5789.9300000000103</v>
      </c>
      <c r="C15" s="57">
        <v>5645.7139226862801</v>
      </c>
      <c r="D15" s="57">
        <v>5465.5315634516101</v>
      </c>
      <c r="E15" s="57">
        <v>5405.4707770400601</v>
      </c>
      <c r="F15" s="57">
        <v>5345.40999062848</v>
      </c>
      <c r="G15" s="57">
        <v>5285.3492042169401</v>
      </c>
      <c r="H15" s="57">
        <v>5969</v>
      </c>
      <c r="I15" s="57">
        <f>H15/H7*I7</f>
        <v>6006.0782260833703</v>
      </c>
      <c r="J15" s="57">
        <f t="shared" ref="J15:M15" si="0">I15/I7*J7</f>
        <v>6006.0782260833703</v>
      </c>
      <c r="K15" s="57">
        <v>6006</v>
      </c>
      <c r="L15" s="57">
        <f t="shared" si="0"/>
        <v>6006</v>
      </c>
      <c r="M15" s="57">
        <f t="shared" si="0"/>
        <v>6006</v>
      </c>
      <c r="N15" s="57">
        <v>5969</v>
      </c>
      <c r="O15" s="57">
        <v>6006.0786411556301</v>
      </c>
      <c r="P15" s="57">
        <v>6006.0786411556301</v>
      </c>
      <c r="Q15" s="57">
        <v>6006.0786411556301</v>
      </c>
      <c r="R15" s="57">
        <v>6006.0786411556301</v>
      </c>
      <c r="S15" s="57">
        <v>6006.0786411556301</v>
      </c>
    </row>
    <row r="16" spans="1:19" x14ac:dyDescent="0.3">
      <c r="A16" t="s">
        <v>46</v>
      </c>
      <c r="B16" s="58">
        <v>23614.69</v>
      </c>
      <c r="C16" s="58">
        <v>17139.182499999999</v>
      </c>
      <c r="D16" s="58">
        <v>14113.852500000001</v>
      </c>
      <c r="E16" s="58">
        <v>13388.65</v>
      </c>
      <c r="F16" s="58">
        <v>12663.4475</v>
      </c>
      <c r="G16" s="58">
        <v>11938.245000000001</v>
      </c>
      <c r="H16" s="58">
        <v>25557.345000000001</v>
      </c>
      <c r="I16" s="58">
        <v>22319.591250000001</v>
      </c>
      <c r="J16" s="58">
        <v>20806.92625</v>
      </c>
      <c r="K16" s="58">
        <v>20444.325000000001</v>
      </c>
      <c r="L16" s="58">
        <v>20081.723750000001</v>
      </c>
      <c r="M16" s="58">
        <v>19719.122500000001</v>
      </c>
      <c r="N16" s="58">
        <v>25852.86</v>
      </c>
      <c r="O16" s="58">
        <v>23880.9175</v>
      </c>
      <c r="P16" s="58">
        <v>22926.0075</v>
      </c>
      <c r="Q16" s="58">
        <v>22636.872500000001</v>
      </c>
      <c r="R16" s="58">
        <v>22599.94</v>
      </c>
      <c r="S16" s="58">
        <v>22573.759999999998</v>
      </c>
    </row>
    <row r="17" spans="1:19" x14ac:dyDescent="0.3">
      <c r="A17" s="54" t="s">
        <v>167</v>
      </c>
      <c r="B17" s="57">
        <v>3254.6503732139299</v>
      </c>
      <c r="C17" s="57">
        <v>2201.6752524682702</v>
      </c>
      <c r="D17" s="57">
        <v>2064.0705491889998</v>
      </c>
      <c r="E17" s="57">
        <v>1926.46584590973</v>
      </c>
      <c r="F17" s="57">
        <v>1788.8611426304701</v>
      </c>
      <c r="G17" s="57">
        <v>1651.2564393512</v>
      </c>
      <c r="H17" s="58">
        <f>2176.19087918688</f>
        <v>2176.19087918688</v>
      </c>
      <c r="I17" s="58">
        <v>1876.4794748880299</v>
      </c>
      <c r="J17" s="58">
        <v>1760.3245322688299</v>
      </c>
      <c r="K17" s="58">
        <v>1643.04456508832</v>
      </c>
      <c r="L17" s="58">
        <v>1525.76459790782</v>
      </c>
      <c r="M17" s="58">
        <v>1408.7995583577499</v>
      </c>
      <c r="N17" s="57">
        <v>4248.84316445682</v>
      </c>
      <c r="O17" s="57">
        <v>3800.3030795099799</v>
      </c>
      <c r="P17" s="57">
        <v>3800.3030795099799</v>
      </c>
      <c r="Q17" s="57">
        <v>3800.3030795099799</v>
      </c>
      <c r="R17" s="57">
        <v>3800.3030795099799</v>
      </c>
      <c r="S17" s="57">
        <v>3800.3030795099799</v>
      </c>
    </row>
    <row r="18" spans="1:19" x14ac:dyDescent="0.3">
      <c r="A18" s="54" t="s">
        <v>168</v>
      </c>
      <c r="B18" s="57">
        <v>3254.6503732139299</v>
      </c>
      <c r="C18" s="57">
        <v>2201.6752524682702</v>
      </c>
      <c r="D18" s="57">
        <v>2064.0705491889998</v>
      </c>
      <c r="E18" s="57">
        <v>1926.46584590973</v>
      </c>
      <c r="F18" s="57">
        <v>1788.8611426304701</v>
      </c>
      <c r="G18" s="57">
        <v>1651.2564393512</v>
      </c>
      <c r="H18" s="58">
        <v>2176.19087918688</v>
      </c>
      <c r="I18" s="58">
        <v>1876.4794748880299</v>
      </c>
      <c r="J18" s="58">
        <v>1760.3245322688299</v>
      </c>
      <c r="K18" s="58">
        <v>1643.04456508832</v>
      </c>
      <c r="L18" s="58">
        <v>1525.76459790782</v>
      </c>
      <c r="M18" s="58">
        <v>1408.7995583577499</v>
      </c>
      <c r="N18" s="57">
        <v>4248.84316445682</v>
      </c>
      <c r="O18" s="57">
        <v>3800.3030795099799</v>
      </c>
      <c r="P18" s="57">
        <v>3800.3030795099799</v>
      </c>
      <c r="Q18" s="57">
        <v>3800.3030795099799</v>
      </c>
      <c r="R18" s="57">
        <v>3800.3030795099799</v>
      </c>
      <c r="S18" s="57">
        <v>3800.3030795099799</v>
      </c>
    </row>
    <row r="19" spans="1:19" x14ac:dyDescent="0.3">
      <c r="A19" s="54" t="s">
        <v>169</v>
      </c>
      <c r="B19" s="57">
        <v>3254.6503732139299</v>
      </c>
      <c r="C19" s="57">
        <v>2201.6752524682702</v>
      </c>
      <c r="D19" s="57">
        <v>2064.0705491889998</v>
      </c>
      <c r="E19" s="57">
        <v>1926.46584590973</v>
      </c>
      <c r="F19" s="57">
        <v>1788.8611426304701</v>
      </c>
      <c r="G19" s="57">
        <v>1651.2564393512</v>
      </c>
      <c r="H19" s="58">
        <v>2176.19087918688</v>
      </c>
      <c r="I19" s="58">
        <v>1876.4794748880299</v>
      </c>
      <c r="J19" s="58">
        <v>1760.3245322688299</v>
      </c>
      <c r="K19" s="58">
        <v>1643.04456508832</v>
      </c>
      <c r="L19" s="58">
        <v>1525.76459790782</v>
      </c>
      <c r="M19" s="58">
        <v>1408.7995583577499</v>
      </c>
      <c r="N19" s="57">
        <v>4248.84316445682</v>
      </c>
      <c r="O19" s="57">
        <v>3800.3030795099799</v>
      </c>
      <c r="P19" s="57">
        <v>3800.3030795099799</v>
      </c>
      <c r="Q19" s="57">
        <v>3800.3030795099799</v>
      </c>
      <c r="R19" s="57">
        <v>3800.3030795099799</v>
      </c>
      <c r="S19" s="57">
        <v>3800.3030795099799</v>
      </c>
    </row>
    <row r="20" spans="1:19" x14ac:dyDescent="0.3">
      <c r="A20" s="54" t="s">
        <v>170</v>
      </c>
      <c r="B20" s="57">
        <v>3254.6503732139299</v>
      </c>
      <c r="C20" s="57">
        <v>2201.6752524682702</v>
      </c>
      <c r="D20" s="57">
        <v>2064.0705491889998</v>
      </c>
      <c r="E20" s="57">
        <v>1926.46584590973</v>
      </c>
      <c r="F20" s="57">
        <v>1788.8611426304701</v>
      </c>
      <c r="G20" s="57">
        <v>1651.2564393512</v>
      </c>
      <c r="H20" s="58">
        <v>2176.19087918688</v>
      </c>
      <c r="I20" s="58">
        <v>1876.4794748880299</v>
      </c>
      <c r="J20" s="58">
        <v>1760.3245322688299</v>
      </c>
      <c r="K20" s="58">
        <v>1643.04456508832</v>
      </c>
      <c r="L20" s="58">
        <v>1525.76459790782</v>
      </c>
      <c r="M20" s="58">
        <v>1408.7995583577499</v>
      </c>
      <c r="N20" s="57">
        <v>4248.84316445682</v>
      </c>
      <c r="O20" s="57">
        <v>3800.3030795099799</v>
      </c>
      <c r="P20" s="57">
        <v>3800.3030795099799</v>
      </c>
      <c r="Q20" s="57">
        <v>3800.3030795099799</v>
      </c>
      <c r="R20" s="57">
        <v>3800.3030795099799</v>
      </c>
      <c r="S20" s="57">
        <v>3800.3030795099799</v>
      </c>
    </row>
    <row r="21" spans="1:19" x14ac:dyDescent="0.3">
      <c r="A21" s="54" t="s">
        <v>171</v>
      </c>
      <c r="B21" s="57">
        <v>3254.6503732139299</v>
      </c>
      <c r="C21" s="57">
        <v>2201.6752524682702</v>
      </c>
      <c r="D21" s="57">
        <v>2064.0705491889998</v>
      </c>
      <c r="E21" s="57">
        <v>1926.46584590973</v>
      </c>
      <c r="F21" s="57">
        <v>1788.8611426304701</v>
      </c>
      <c r="G21" s="57">
        <v>1651.2564393512</v>
      </c>
      <c r="H21" s="58">
        <v>2176.19087918688</v>
      </c>
      <c r="I21" s="58">
        <v>1876.4794748880299</v>
      </c>
      <c r="J21" s="58">
        <v>1760.3245322688299</v>
      </c>
      <c r="K21" s="58">
        <v>1643.04456508832</v>
      </c>
      <c r="L21" s="58">
        <v>1525.76459790782</v>
      </c>
      <c r="M21" s="58">
        <v>1408.7995583577499</v>
      </c>
      <c r="N21" s="57">
        <v>4248.84316445682</v>
      </c>
      <c r="O21" s="57">
        <v>3800.3030795099799</v>
      </c>
      <c r="P21" s="57">
        <v>3800.3030795099799</v>
      </c>
      <c r="Q21" s="57">
        <v>3800.3030795099799</v>
      </c>
      <c r="R21" s="57">
        <v>3800.3030795099799</v>
      </c>
      <c r="S21" s="57">
        <v>3800.3030795099799</v>
      </c>
    </row>
    <row r="25" spans="1:19" x14ac:dyDescent="0.3">
      <c r="B25">
        <f>2*3.7/1000</f>
        <v>7.4000000000000003E-3</v>
      </c>
      <c r="C25">
        <f>10</f>
        <v>10</v>
      </c>
      <c r="D25">
        <f>C25/B25</f>
        <v>1351.3513513513512</v>
      </c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1"/>
  <sheetViews>
    <sheetView workbookViewId="0">
      <selection activeCell="A39" sqref="A39"/>
    </sheetView>
  </sheetViews>
  <sheetFormatPr defaultColWidth="8.83203125" defaultRowHeight="14" x14ac:dyDescent="0.3"/>
  <cols>
    <col min="1" max="1" width="19.83203125" customWidth="1"/>
    <col min="11" max="11" width="11.5"/>
    <col min="12" max="14" width="12.58203125"/>
    <col min="15" max="15" width="11.5"/>
    <col min="16" max="16" width="12.58203125"/>
  </cols>
  <sheetData>
    <row r="1" spans="1:19" x14ac:dyDescent="0.3">
      <c r="A1" s="1" t="s">
        <v>109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121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19" x14ac:dyDescent="0.3">
      <c r="A2" s="2" t="s">
        <v>32</v>
      </c>
      <c r="B2" s="4">
        <v>61.162162162162197</v>
      </c>
      <c r="C2" s="4">
        <v>57.8108108108108</v>
      </c>
      <c r="D2" s="4">
        <v>55.297297297297298</v>
      </c>
      <c r="E2" s="4">
        <v>55.297297297297298</v>
      </c>
      <c r="F2" s="4">
        <v>55.297297297297298</v>
      </c>
      <c r="G2" s="4">
        <v>55.297297297297298</v>
      </c>
      <c r="H2" s="4">
        <v>61.162162162162197</v>
      </c>
      <c r="I2" s="4">
        <v>59.486486486486498</v>
      </c>
      <c r="J2" s="4">
        <v>58.648648648648603</v>
      </c>
      <c r="K2" s="4">
        <v>58.648648648648603</v>
      </c>
      <c r="L2" s="4">
        <v>58.648648648648603</v>
      </c>
      <c r="M2" s="4">
        <v>58.648648648648603</v>
      </c>
      <c r="N2" s="4">
        <v>62</v>
      </c>
      <c r="O2" s="4">
        <v>62</v>
      </c>
      <c r="P2" s="4">
        <v>62</v>
      </c>
      <c r="Q2" s="4">
        <v>62</v>
      </c>
      <c r="R2" s="4">
        <v>62</v>
      </c>
      <c r="S2" s="4">
        <v>62</v>
      </c>
    </row>
    <row r="3" spans="1:19" x14ac:dyDescent="0.3">
      <c r="A3" s="2" t="s">
        <v>33</v>
      </c>
      <c r="B3" s="4">
        <v>98</v>
      </c>
      <c r="C3" s="4">
        <v>98</v>
      </c>
      <c r="D3" s="4">
        <v>98</v>
      </c>
      <c r="E3" s="4">
        <v>98</v>
      </c>
      <c r="F3" s="4">
        <v>98</v>
      </c>
      <c r="G3" s="4">
        <v>98</v>
      </c>
      <c r="H3" s="4">
        <v>98</v>
      </c>
      <c r="I3" s="4">
        <v>98</v>
      </c>
      <c r="J3" s="4">
        <v>98</v>
      </c>
      <c r="K3" s="4">
        <v>98</v>
      </c>
      <c r="L3" s="4">
        <v>98</v>
      </c>
      <c r="M3" s="4">
        <v>98</v>
      </c>
      <c r="N3" s="4">
        <v>98</v>
      </c>
      <c r="O3" s="4">
        <v>98</v>
      </c>
      <c r="P3" s="4">
        <v>98</v>
      </c>
      <c r="Q3" s="4">
        <v>98</v>
      </c>
      <c r="R3" s="4">
        <v>98</v>
      </c>
      <c r="S3" s="4">
        <v>98</v>
      </c>
    </row>
    <row r="4" spans="1:19" x14ac:dyDescent="0.3">
      <c r="A4" s="2" t="s">
        <v>34</v>
      </c>
      <c r="B4" s="4">
        <v>357.05782653189698</v>
      </c>
      <c r="C4" s="4">
        <v>318.724161039725</v>
      </c>
      <c r="D4" s="4">
        <v>293.03017005456502</v>
      </c>
      <c r="E4" s="4">
        <v>273.67632650062302</v>
      </c>
      <c r="F4" s="4">
        <v>258.14490481515702</v>
      </c>
      <c r="G4" s="4">
        <v>245.17222342299101</v>
      </c>
      <c r="H4" s="4">
        <v>368.84403466263899</v>
      </c>
      <c r="I4" s="4">
        <v>336.34451017751297</v>
      </c>
      <c r="J4" s="4">
        <v>314.56098182399899</v>
      </c>
      <c r="K4" s="4">
        <v>298.15267063364098</v>
      </c>
      <c r="L4" s="4">
        <v>284.98503292211802</v>
      </c>
      <c r="M4" s="4">
        <v>273.98671144334998</v>
      </c>
      <c r="N4" s="4">
        <v>393.947851146993</v>
      </c>
      <c r="O4" s="4">
        <v>373.87464762617799</v>
      </c>
      <c r="P4" s="4">
        <v>360.420136984284</v>
      </c>
      <c r="Q4" s="4">
        <v>350.28560808963198</v>
      </c>
      <c r="R4" s="4">
        <v>342.15266842792198</v>
      </c>
      <c r="S4" s="4">
        <v>335.35959840833601</v>
      </c>
    </row>
    <row r="5" spans="1:19" x14ac:dyDescent="0.3">
      <c r="A5" s="2" t="s">
        <v>35</v>
      </c>
      <c r="B5" s="4">
        <v>131.36604651162801</v>
      </c>
      <c r="C5" s="4">
        <v>116.732093023256</v>
      </c>
      <c r="D5" s="4">
        <v>107.977186046512</v>
      </c>
      <c r="E5" s="4">
        <v>99.222279069767396</v>
      </c>
      <c r="F5" s="4">
        <v>90.467372093023201</v>
      </c>
      <c r="G5" s="4">
        <v>81.712465116279105</v>
      </c>
      <c r="H5" s="4">
        <v>139.124418604651</v>
      </c>
      <c r="I5" s="4">
        <v>132.248837209302</v>
      </c>
      <c r="J5" s="4">
        <v>127.289505813953</v>
      </c>
      <c r="K5" s="4">
        <v>122.330174418605</v>
      </c>
      <c r="L5" s="4">
        <v>117.37084302325501</v>
      </c>
      <c r="M5" s="4">
        <v>112.411511627907</v>
      </c>
      <c r="N5" s="4">
        <v>146</v>
      </c>
      <c r="O5" s="4">
        <v>146</v>
      </c>
      <c r="P5" s="4">
        <v>144.34434302325599</v>
      </c>
      <c r="Q5" s="4">
        <v>142.688686046512</v>
      </c>
      <c r="R5" s="4">
        <v>141.033029069767</v>
      </c>
      <c r="S5" s="4">
        <v>139.37737209302301</v>
      </c>
    </row>
    <row r="6" spans="1:19" x14ac:dyDescent="0.3">
      <c r="A6" s="2" t="s">
        <v>36</v>
      </c>
      <c r="B6" s="4">
        <v>50.708146560996099</v>
      </c>
      <c r="C6" s="4">
        <v>38.9538493144792</v>
      </c>
      <c r="D6" s="4">
        <v>37.130567704591499</v>
      </c>
      <c r="E6" s="4">
        <v>35.356165670940499</v>
      </c>
      <c r="F6" s="4">
        <v>33.624267616624998</v>
      </c>
      <c r="G6" s="4">
        <v>31.929560544228501</v>
      </c>
      <c r="H6" s="4">
        <v>53.395175095903902</v>
      </c>
      <c r="I6" s="4">
        <v>44.742237418538899</v>
      </c>
      <c r="J6" s="4">
        <v>43.269709802184799</v>
      </c>
      <c r="K6" s="4">
        <v>41.815028214138998</v>
      </c>
      <c r="L6" s="4">
        <v>40.376819882992798</v>
      </c>
      <c r="M6" s="4">
        <v>38.9538493144792</v>
      </c>
      <c r="N6" s="4">
        <v>59.607233424139302</v>
      </c>
      <c r="O6" s="4">
        <v>58.652446184473703</v>
      </c>
      <c r="P6" s="4">
        <v>55.169863616927103</v>
      </c>
      <c r="Q6" s="4">
        <v>51.690710851241498</v>
      </c>
      <c r="R6" s="4">
        <v>48.214872276118598</v>
      </c>
      <c r="S6" s="4">
        <v>44.742237418538899</v>
      </c>
    </row>
    <row r="7" spans="1:19" x14ac:dyDescent="0.3">
      <c r="A7" s="2" t="s">
        <v>108</v>
      </c>
      <c r="B7" s="4">
        <v>259.3</v>
      </c>
      <c r="C7" s="4">
        <v>246.33502254436499</v>
      </c>
      <c r="D7" s="4">
        <v>246.33502254436499</v>
      </c>
      <c r="E7" s="4">
        <v>224.03520229542599</v>
      </c>
      <c r="F7" s="4">
        <v>224.03520229542599</v>
      </c>
      <c r="G7" s="4">
        <v>224.03520229542599</v>
      </c>
      <c r="H7" s="4">
        <v>259.3</v>
      </c>
      <c r="I7" s="4">
        <v>259.3</v>
      </c>
      <c r="J7" s="4">
        <v>259.3</v>
      </c>
      <c r="K7" s="4">
        <v>248.92799344163899</v>
      </c>
      <c r="L7" s="4">
        <v>248.92799344163899</v>
      </c>
      <c r="M7" s="4">
        <v>248.92799344163899</v>
      </c>
      <c r="N7" s="4">
        <v>259.3</v>
      </c>
      <c r="O7" s="4">
        <v>259.3</v>
      </c>
      <c r="P7" s="4">
        <v>259.3</v>
      </c>
      <c r="Q7" s="4">
        <v>259.3</v>
      </c>
      <c r="R7" s="4">
        <v>259.3</v>
      </c>
      <c r="S7" s="4">
        <v>259.3</v>
      </c>
    </row>
    <row r="8" spans="1:19" x14ac:dyDescent="0.3">
      <c r="A8" s="2" t="s">
        <v>38</v>
      </c>
      <c r="B8" s="4">
        <v>556.4</v>
      </c>
      <c r="C8" s="4">
        <v>556.4</v>
      </c>
      <c r="D8" s="4">
        <v>556.4</v>
      </c>
      <c r="E8" s="4">
        <v>556.4</v>
      </c>
      <c r="F8" s="4">
        <v>556.4</v>
      </c>
      <c r="G8" s="4">
        <v>556.4</v>
      </c>
      <c r="H8" s="4">
        <v>556.4</v>
      </c>
      <c r="I8" s="4">
        <v>556.4</v>
      </c>
      <c r="J8" s="4">
        <v>556.4</v>
      </c>
      <c r="K8" s="4">
        <v>556.4</v>
      </c>
      <c r="L8" s="4">
        <v>556.4</v>
      </c>
      <c r="M8" s="4">
        <v>556.4</v>
      </c>
      <c r="N8" s="4">
        <v>556.4</v>
      </c>
      <c r="O8" s="4">
        <v>556.4</v>
      </c>
      <c r="P8" s="4">
        <v>556.4</v>
      </c>
      <c r="Q8" s="4">
        <v>556.4</v>
      </c>
      <c r="R8" s="4">
        <v>556.4</v>
      </c>
      <c r="S8" s="4">
        <v>556.4</v>
      </c>
    </row>
    <row r="9" spans="1:19" x14ac:dyDescent="0.3">
      <c r="A9" s="54" t="s">
        <v>112</v>
      </c>
      <c r="B9" s="4">
        <v>162.73251866069799</v>
      </c>
      <c r="C9" s="4">
        <v>110.08376262341299</v>
      </c>
      <c r="D9" s="4">
        <v>103.20352745944901</v>
      </c>
      <c r="E9" s="4">
        <v>96.323292295486098</v>
      </c>
      <c r="F9" s="4">
        <v>89.443057131522806</v>
      </c>
      <c r="G9" s="4">
        <v>82.5628219675596</v>
      </c>
      <c r="H9" s="4">
        <v>108.809543959344</v>
      </c>
      <c r="I9" s="4">
        <v>93.823973744401201</v>
      </c>
      <c r="J9" s="4">
        <v>88.016226613441603</v>
      </c>
      <c r="K9" s="4">
        <v>82.152228254416002</v>
      </c>
      <c r="L9" s="4">
        <v>76.288229895390998</v>
      </c>
      <c r="M9" s="4">
        <v>70.439977917887703</v>
      </c>
      <c r="N9" s="4">
        <v>212.44215822284099</v>
      </c>
      <c r="O9" s="4">
        <v>190.015153975499</v>
      </c>
      <c r="P9" s="4">
        <v>190.015153975499</v>
      </c>
      <c r="Q9" s="4">
        <v>190.015153975499</v>
      </c>
      <c r="R9" s="4">
        <v>190.015153975499</v>
      </c>
      <c r="S9" s="4">
        <v>190.015153975499</v>
      </c>
    </row>
    <row r="10" spans="1:19" x14ac:dyDescent="0.3">
      <c r="A10" s="2" t="s">
        <v>40</v>
      </c>
      <c r="B10" s="4">
        <v>240.096</v>
      </c>
      <c r="C10" s="4">
        <v>216.672</v>
      </c>
      <c r="D10" s="4">
        <v>191.29599999999999</v>
      </c>
      <c r="E10" s="4">
        <v>175.68</v>
      </c>
      <c r="F10" s="4">
        <v>175.68</v>
      </c>
      <c r="G10" s="4">
        <v>175.68</v>
      </c>
      <c r="H10" s="4">
        <v>242.048</v>
      </c>
      <c r="I10" s="4">
        <v>230.33600000000001</v>
      </c>
      <c r="J10" s="4">
        <v>218.624</v>
      </c>
      <c r="K10" s="4">
        <v>210.816</v>
      </c>
      <c r="L10" s="4">
        <v>210.816</v>
      </c>
      <c r="M10" s="4">
        <v>210.816</v>
      </c>
      <c r="N10" s="4">
        <v>244</v>
      </c>
      <c r="O10" s="4">
        <v>244</v>
      </c>
      <c r="P10" s="4">
        <v>244</v>
      </c>
      <c r="Q10" s="4">
        <v>244</v>
      </c>
      <c r="R10" s="4">
        <v>244</v>
      </c>
      <c r="S10" s="4">
        <v>244</v>
      </c>
    </row>
    <row r="11" spans="1:19" x14ac:dyDescent="0.3">
      <c r="A11" s="2" t="s">
        <v>41</v>
      </c>
      <c r="B11" s="4">
        <v>246.567164179104</v>
      </c>
      <c r="C11" s="4">
        <v>238.20895522388099</v>
      </c>
      <c r="D11" s="4">
        <v>229.85074626865699</v>
      </c>
      <c r="E11" s="4">
        <v>221.49253731343299</v>
      </c>
      <c r="F11" s="4">
        <v>221.49253731343299</v>
      </c>
      <c r="G11" s="4">
        <v>221.49253731343299</v>
      </c>
      <c r="H11" s="4">
        <v>263.283582089552</v>
      </c>
      <c r="I11" s="4">
        <v>259.10447761194001</v>
      </c>
      <c r="J11" s="4">
        <v>254.925373134328</v>
      </c>
      <c r="K11" s="4">
        <v>250.74626865671601</v>
      </c>
      <c r="L11" s="4">
        <v>250.74626865671601</v>
      </c>
      <c r="M11" s="4">
        <v>250.74626865671601</v>
      </c>
      <c r="N11" s="4">
        <v>280</v>
      </c>
      <c r="O11" s="4">
        <v>280</v>
      </c>
      <c r="P11" s="4">
        <v>280</v>
      </c>
      <c r="Q11" s="4">
        <v>280</v>
      </c>
      <c r="R11" s="4">
        <v>280</v>
      </c>
      <c r="S11" s="4">
        <v>280</v>
      </c>
    </row>
    <row r="12" spans="1:19" x14ac:dyDescent="0.3">
      <c r="A12" s="2" t="s">
        <v>42</v>
      </c>
      <c r="B12" s="4">
        <v>47.731830571777301</v>
      </c>
      <c r="C12" s="4">
        <v>32.245469388130303</v>
      </c>
      <c r="D12" s="4">
        <v>30.813134128684499</v>
      </c>
      <c r="E12" s="4">
        <v>29.380798869238902</v>
      </c>
      <c r="F12" s="4">
        <v>27.948463609793201</v>
      </c>
      <c r="G12" s="4">
        <v>26.5161283503475</v>
      </c>
      <c r="H12" s="4">
        <v>50.721021978821803</v>
      </c>
      <c r="I12" s="4">
        <v>38.971150053979699</v>
      </c>
      <c r="J12" s="4">
        <v>37.289729887517503</v>
      </c>
      <c r="K12" s="4">
        <v>35.608309721054901</v>
      </c>
      <c r="L12" s="4">
        <v>33.926889554592599</v>
      </c>
      <c r="M12" s="4">
        <v>32.245469388130303</v>
      </c>
      <c r="N12" s="4">
        <v>58.592211623545303</v>
      </c>
      <c r="O12" s="4">
        <v>56.681326754607703</v>
      </c>
      <c r="P12" s="4">
        <v>52.2537825794507</v>
      </c>
      <c r="Q12" s="4">
        <v>47.826238404293697</v>
      </c>
      <c r="R12" s="4">
        <v>43.398694229136701</v>
      </c>
      <c r="S12" s="4">
        <v>38.971150053979699</v>
      </c>
    </row>
    <row r="13" spans="1:19" x14ac:dyDescent="0.3">
      <c r="A13" s="2" t="s">
        <v>43</v>
      </c>
      <c r="B13" s="4">
        <v>448</v>
      </c>
      <c r="C13" s="4">
        <v>448</v>
      </c>
      <c r="D13" s="4">
        <v>448</v>
      </c>
      <c r="E13" s="4">
        <v>448</v>
      </c>
      <c r="F13" s="4">
        <v>448</v>
      </c>
      <c r="G13" s="4">
        <v>448</v>
      </c>
      <c r="H13" s="4">
        <v>448</v>
      </c>
      <c r="I13" s="4">
        <v>448</v>
      </c>
      <c r="J13" s="4">
        <v>448</v>
      </c>
      <c r="K13" s="4">
        <v>448</v>
      </c>
      <c r="L13" s="4">
        <v>448</v>
      </c>
      <c r="M13" s="4">
        <v>448</v>
      </c>
      <c r="N13" s="4">
        <v>448</v>
      </c>
      <c r="O13" s="4">
        <v>448</v>
      </c>
      <c r="P13" s="4">
        <v>448</v>
      </c>
      <c r="Q13" s="4">
        <v>448</v>
      </c>
      <c r="R13" s="4">
        <v>448</v>
      </c>
      <c r="S13" s="4">
        <v>448</v>
      </c>
    </row>
    <row r="14" spans="1:19" x14ac:dyDescent="0.3">
      <c r="A14" s="2" t="s">
        <v>44</v>
      </c>
      <c r="B14" s="4">
        <v>448</v>
      </c>
      <c r="C14" s="4">
        <v>448</v>
      </c>
      <c r="D14" s="4">
        <v>448</v>
      </c>
      <c r="E14" s="4">
        <v>448</v>
      </c>
      <c r="F14" s="4">
        <v>448</v>
      </c>
      <c r="G14" s="4">
        <v>448</v>
      </c>
      <c r="H14" s="4">
        <v>448</v>
      </c>
      <c r="I14" s="4">
        <v>448</v>
      </c>
      <c r="J14" s="4">
        <v>448</v>
      </c>
      <c r="K14" s="4">
        <v>448</v>
      </c>
      <c r="L14" s="4">
        <v>448</v>
      </c>
      <c r="M14" s="4">
        <v>448</v>
      </c>
      <c r="N14" s="4">
        <v>448</v>
      </c>
      <c r="O14" s="4">
        <v>448</v>
      </c>
      <c r="P14" s="4">
        <v>448</v>
      </c>
      <c r="Q14" s="4">
        <v>448</v>
      </c>
      <c r="R14" s="4">
        <v>448</v>
      </c>
      <c r="S14" s="4">
        <v>448</v>
      </c>
    </row>
    <row r="15" spans="1:19" x14ac:dyDescent="0.3">
      <c r="A15" s="2" t="s">
        <v>45</v>
      </c>
      <c r="B15" s="4">
        <v>149.19999999999999</v>
      </c>
      <c r="C15" s="4">
        <v>149.19999999999999</v>
      </c>
      <c r="D15" s="4">
        <v>149.19999999999999</v>
      </c>
      <c r="E15" s="4">
        <v>149.19999999999999</v>
      </c>
      <c r="F15" s="4">
        <v>149.19999999999999</v>
      </c>
      <c r="G15" s="4">
        <v>149.19999999999999</v>
      </c>
      <c r="H15" s="4">
        <v>149.19999999999999</v>
      </c>
      <c r="I15" s="4">
        <v>149.19999999999999</v>
      </c>
      <c r="J15" s="4">
        <v>149.19999999999999</v>
      </c>
      <c r="K15" s="4">
        <v>149.19999999999999</v>
      </c>
      <c r="L15" s="4">
        <v>149.19999999999999</v>
      </c>
      <c r="M15" s="4">
        <v>149.19999999999999</v>
      </c>
      <c r="N15" s="4">
        <v>149.19999999999999</v>
      </c>
      <c r="O15" s="4">
        <v>149.19999999999999</v>
      </c>
      <c r="P15" s="4">
        <v>149.19999999999999</v>
      </c>
      <c r="Q15" s="4">
        <v>149.19999999999999</v>
      </c>
      <c r="R15" s="4">
        <v>149.19999999999999</v>
      </c>
      <c r="S15" s="4">
        <v>149.19999999999999</v>
      </c>
    </row>
    <row r="16" spans="1:19" x14ac:dyDescent="0.3">
      <c r="A16" t="s">
        <v>46</v>
      </c>
      <c r="B16">
        <v>412.14666490553998</v>
      </c>
      <c r="C16">
        <v>316.609857962045</v>
      </c>
      <c r="D16">
        <v>301.79055405010098</v>
      </c>
      <c r="E16">
        <v>287.36853451343399</v>
      </c>
      <c r="F16">
        <v>273.29197965091402</v>
      </c>
      <c r="G16">
        <v>259.51770637827798</v>
      </c>
      <c r="H16">
        <v>433.98634795994099</v>
      </c>
      <c r="I16">
        <v>363.65683195068101</v>
      </c>
      <c r="J16">
        <v>351.68839320422398</v>
      </c>
      <c r="K16">
        <v>339.865003755521</v>
      </c>
      <c r="L16">
        <v>328.17550596628001</v>
      </c>
      <c r="M16">
        <v>316.609857962045</v>
      </c>
      <c r="N16">
        <v>484.47683707890701</v>
      </c>
      <c r="O16">
        <v>476.71649868733903</v>
      </c>
      <c r="P16">
        <v>448.41069601427199</v>
      </c>
      <c r="Q16">
        <v>420.13277015182001</v>
      </c>
      <c r="R16">
        <v>391.88178143221199</v>
      </c>
      <c r="S16">
        <v>363.65683195068101</v>
      </c>
    </row>
    <row r="17" spans="1:19" x14ac:dyDescent="0.3">
      <c r="A17" s="54" t="s">
        <v>167</v>
      </c>
      <c r="B17" s="4">
        <v>162.73251866069799</v>
      </c>
      <c r="C17" s="4">
        <v>110.08376262341299</v>
      </c>
      <c r="D17" s="4">
        <v>103.20352745944901</v>
      </c>
      <c r="E17" s="4">
        <v>96.323292295486098</v>
      </c>
      <c r="F17" s="4">
        <v>89.443057131522806</v>
      </c>
      <c r="G17" s="4">
        <v>82.5628219675596</v>
      </c>
      <c r="H17" s="4">
        <v>108.809543959344</v>
      </c>
      <c r="I17" s="4">
        <v>93.823973744401201</v>
      </c>
      <c r="J17" s="4">
        <v>88.016226613441603</v>
      </c>
      <c r="K17" s="4">
        <v>82.152228254416002</v>
      </c>
      <c r="L17" s="4">
        <v>76.288229895390998</v>
      </c>
      <c r="M17" s="4">
        <v>70.439977917887703</v>
      </c>
      <c r="N17" s="4">
        <v>212.44215822284099</v>
      </c>
      <c r="O17" s="4">
        <v>190.015153975499</v>
      </c>
      <c r="P17" s="4">
        <v>190.015153975499</v>
      </c>
      <c r="Q17" s="4">
        <v>190.015153975499</v>
      </c>
      <c r="R17" s="4">
        <v>190.015153975499</v>
      </c>
      <c r="S17" s="4">
        <v>190.015153975499</v>
      </c>
    </row>
    <row r="18" spans="1:19" x14ac:dyDescent="0.3">
      <c r="A18" s="54" t="s">
        <v>168</v>
      </c>
      <c r="B18" s="4">
        <v>162.73251866069799</v>
      </c>
      <c r="C18" s="4">
        <v>110.08376262341299</v>
      </c>
      <c r="D18" s="4">
        <v>103.20352745944901</v>
      </c>
      <c r="E18" s="4">
        <v>96.323292295486098</v>
      </c>
      <c r="F18" s="4">
        <v>89.443057131522806</v>
      </c>
      <c r="G18" s="4">
        <v>82.5628219675596</v>
      </c>
      <c r="H18" s="4">
        <v>108.809543959344</v>
      </c>
      <c r="I18" s="4">
        <v>93.823973744401201</v>
      </c>
      <c r="J18" s="4">
        <v>88.016226613441603</v>
      </c>
      <c r="K18" s="4">
        <v>82.152228254416002</v>
      </c>
      <c r="L18" s="4">
        <v>76.288229895390998</v>
      </c>
      <c r="M18" s="4">
        <v>70.439977917887703</v>
      </c>
      <c r="N18" s="4">
        <v>212.44215822284099</v>
      </c>
      <c r="O18" s="4">
        <v>190.015153975499</v>
      </c>
      <c r="P18" s="4">
        <v>190.015153975499</v>
      </c>
      <c r="Q18" s="4">
        <v>190.015153975499</v>
      </c>
      <c r="R18" s="4">
        <v>190.015153975499</v>
      </c>
      <c r="S18" s="4">
        <v>190.015153975499</v>
      </c>
    </row>
    <row r="19" spans="1:19" x14ac:dyDescent="0.3">
      <c r="A19" s="54" t="s">
        <v>169</v>
      </c>
      <c r="B19" s="4">
        <v>162.73251866069799</v>
      </c>
      <c r="C19" s="4">
        <v>110.08376262341299</v>
      </c>
      <c r="D19" s="4">
        <v>103.20352745944901</v>
      </c>
      <c r="E19" s="4">
        <v>96.323292295486098</v>
      </c>
      <c r="F19" s="4">
        <v>89.443057131522806</v>
      </c>
      <c r="G19" s="4">
        <v>82.5628219675596</v>
      </c>
      <c r="H19" s="4">
        <v>108.809543959344</v>
      </c>
      <c r="I19" s="4">
        <v>93.823973744401201</v>
      </c>
      <c r="J19" s="4">
        <v>88.016226613441603</v>
      </c>
      <c r="K19" s="4">
        <v>82.152228254416002</v>
      </c>
      <c r="L19" s="4">
        <v>76.288229895390998</v>
      </c>
      <c r="M19" s="4">
        <v>70.439977917887703</v>
      </c>
      <c r="N19" s="4">
        <v>212.44215822284099</v>
      </c>
      <c r="O19" s="4">
        <v>190.015153975499</v>
      </c>
      <c r="P19" s="4">
        <v>190.015153975499</v>
      </c>
      <c r="Q19" s="4">
        <v>190.015153975499</v>
      </c>
      <c r="R19" s="4">
        <v>190.015153975499</v>
      </c>
      <c r="S19" s="4">
        <v>190.015153975499</v>
      </c>
    </row>
    <row r="20" spans="1:19" x14ac:dyDescent="0.3">
      <c r="A20" s="54" t="s">
        <v>170</v>
      </c>
      <c r="B20" s="4">
        <v>162.73251866069799</v>
      </c>
      <c r="C20" s="4">
        <v>110.08376262341299</v>
      </c>
      <c r="D20" s="4">
        <v>103.20352745944901</v>
      </c>
      <c r="E20" s="4">
        <v>96.323292295486098</v>
      </c>
      <c r="F20" s="4">
        <v>89.443057131522806</v>
      </c>
      <c r="G20" s="4">
        <v>82.5628219675596</v>
      </c>
      <c r="H20" s="4">
        <v>108.809543959344</v>
      </c>
      <c r="I20" s="4">
        <v>93.823973744401201</v>
      </c>
      <c r="J20" s="4">
        <v>88.016226613441603</v>
      </c>
      <c r="K20" s="4">
        <v>82.152228254416002</v>
      </c>
      <c r="L20" s="4">
        <v>76.288229895390998</v>
      </c>
      <c r="M20" s="4">
        <v>70.439977917887703</v>
      </c>
      <c r="N20" s="4">
        <v>212.44215822284099</v>
      </c>
      <c r="O20" s="4">
        <v>190.015153975499</v>
      </c>
      <c r="P20" s="4">
        <v>190.015153975499</v>
      </c>
      <c r="Q20" s="4">
        <v>190.015153975499</v>
      </c>
      <c r="R20" s="4">
        <v>190.015153975499</v>
      </c>
      <c r="S20" s="4">
        <v>190.015153975499</v>
      </c>
    </row>
    <row r="21" spans="1:19" x14ac:dyDescent="0.3">
      <c r="A21" s="54" t="s">
        <v>171</v>
      </c>
      <c r="B21" s="4">
        <v>162.73251866069799</v>
      </c>
      <c r="C21" s="4">
        <v>110.08376262341299</v>
      </c>
      <c r="D21" s="4">
        <v>103.20352745944901</v>
      </c>
      <c r="E21" s="4">
        <v>96.323292295486098</v>
      </c>
      <c r="F21" s="4">
        <v>89.443057131522806</v>
      </c>
      <c r="G21" s="4">
        <v>82.5628219675596</v>
      </c>
      <c r="H21" s="4">
        <v>108.809543959344</v>
      </c>
      <c r="I21" s="4">
        <v>93.823973744401201</v>
      </c>
      <c r="J21" s="4">
        <v>88.016226613441603</v>
      </c>
      <c r="K21" s="4">
        <v>82.152228254416002</v>
      </c>
      <c r="L21" s="4">
        <v>76.288229895390998</v>
      </c>
      <c r="M21" s="4">
        <v>70.439977917887703</v>
      </c>
      <c r="N21" s="4">
        <v>212.44215822284099</v>
      </c>
      <c r="O21" s="4">
        <v>190.015153975499</v>
      </c>
      <c r="P21" s="4">
        <v>190.015153975499</v>
      </c>
      <c r="Q21" s="4">
        <v>190.015153975499</v>
      </c>
      <c r="R21" s="4">
        <v>190.015153975499</v>
      </c>
      <c r="S21" s="4">
        <v>190.015153975499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3"/>
  <sheetViews>
    <sheetView workbookViewId="0">
      <selection activeCell="G31" sqref="G31"/>
    </sheetView>
  </sheetViews>
  <sheetFormatPr defaultColWidth="8.83203125" defaultRowHeight="14" x14ac:dyDescent="0.3"/>
  <cols>
    <col min="1" max="1" width="21.08203125" customWidth="1"/>
    <col min="2" max="2" width="14.58203125" customWidth="1"/>
    <col min="4" max="4" width="12.58203125"/>
    <col min="7" max="7" width="7.33203125" customWidth="1"/>
    <col min="8" max="8" width="16" customWidth="1"/>
  </cols>
  <sheetData>
    <row r="1" spans="1:20" x14ac:dyDescent="0.3">
      <c r="A1" s="1" t="s">
        <v>122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21" t="s">
        <v>120</v>
      </c>
      <c r="I1" s="21" t="s">
        <v>115</v>
      </c>
      <c r="J1" s="21" t="s">
        <v>116</v>
      </c>
      <c r="K1" s="21" t="s">
        <v>117</v>
      </c>
      <c r="L1" s="21" t="s">
        <v>118</v>
      </c>
      <c r="M1" s="21" t="s">
        <v>119</v>
      </c>
      <c r="N1" s="1" t="s">
        <v>121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20" x14ac:dyDescent="0.3">
      <c r="A2" s="2" t="s">
        <v>32</v>
      </c>
      <c r="B2" s="3">
        <v>0.27400000000000002</v>
      </c>
      <c r="C2" s="3">
        <v>0.23974999999999999</v>
      </c>
      <c r="D2" s="3">
        <v>0.23974999999999999</v>
      </c>
      <c r="E2" s="3">
        <v>0.23974999999999999</v>
      </c>
      <c r="F2" s="3">
        <v>0.23974999999999999</v>
      </c>
      <c r="G2" s="3">
        <v>0.23974999999999999</v>
      </c>
      <c r="H2" s="22">
        <v>0.27400000000000002</v>
      </c>
      <c r="I2" s="22">
        <v>0.27400000000000002</v>
      </c>
      <c r="J2" s="22">
        <v>0.27400000000000002</v>
      </c>
      <c r="K2" s="22">
        <v>0.27400000000000002</v>
      </c>
      <c r="L2" s="22">
        <v>0.27400000000000002</v>
      </c>
      <c r="M2" s="22">
        <v>0.27400000000000002</v>
      </c>
      <c r="N2" s="3">
        <v>0.27400000000000002</v>
      </c>
      <c r="O2" s="3">
        <v>0.27400000000000002</v>
      </c>
      <c r="P2" s="3">
        <v>0.27400000000000002</v>
      </c>
      <c r="Q2" s="3">
        <v>0.27400000000000002</v>
      </c>
      <c r="R2" s="3">
        <v>0.27400000000000002</v>
      </c>
      <c r="S2" s="3">
        <v>0.27400000000000002</v>
      </c>
      <c r="T2" s="1">
        <v>0.32200000000000001</v>
      </c>
    </row>
    <row r="3" spans="1:20" x14ac:dyDescent="0.3">
      <c r="A3" s="2" t="s">
        <v>33</v>
      </c>
      <c r="B3" s="3">
        <v>0.44700000000000001</v>
      </c>
      <c r="C3" s="3">
        <v>0.44700000000000001</v>
      </c>
      <c r="D3" s="3">
        <v>0.44700000000000001</v>
      </c>
      <c r="E3" s="3">
        <v>0.44700000000000001</v>
      </c>
      <c r="F3" s="3">
        <v>0.44700000000000001</v>
      </c>
      <c r="G3" s="3">
        <v>0.44700000000000001</v>
      </c>
      <c r="H3" s="22">
        <v>0.44700000000000001</v>
      </c>
      <c r="I3" s="22">
        <v>0.44700000000000001</v>
      </c>
      <c r="J3" s="22">
        <v>0.44700000000000001</v>
      </c>
      <c r="K3" s="22">
        <v>0.44700000000000001</v>
      </c>
      <c r="L3" s="22">
        <v>0.44700000000000001</v>
      </c>
      <c r="M3" s="22">
        <v>0.44700000000000001</v>
      </c>
      <c r="N3" s="3">
        <v>0.44700000000000001</v>
      </c>
      <c r="O3" s="3">
        <v>0.44700000000000001</v>
      </c>
      <c r="P3" s="3">
        <v>0.44700000000000001</v>
      </c>
      <c r="Q3" s="3">
        <v>0.44700000000000001</v>
      </c>
      <c r="R3" s="3">
        <v>0.44700000000000001</v>
      </c>
      <c r="S3" s="3">
        <v>0.44700000000000001</v>
      </c>
      <c r="T3" s="1">
        <v>0.53300000000000003</v>
      </c>
    </row>
    <row r="4" spans="1:20" x14ac:dyDescent="0.3">
      <c r="A4" s="2" t="s">
        <v>34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 x14ac:dyDescent="0.3">
      <c r="A5" s="2" t="s">
        <v>35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 x14ac:dyDescent="0.3">
      <c r="A6" s="2" t="s">
        <v>36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x14ac:dyDescent="0.3">
      <c r="A7" s="2" t="s">
        <v>108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x14ac:dyDescent="0.3">
      <c r="A8" s="2" t="s">
        <v>38</v>
      </c>
      <c r="B8" s="1">
        <v>4.8000000000000001E-2</v>
      </c>
      <c r="C8" s="1">
        <v>4.8000000000000001E-2</v>
      </c>
      <c r="D8" s="1">
        <v>4.8000000000000001E-2</v>
      </c>
      <c r="E8" s="1">
        <v>4.8000000000000001E-2</v>
      </c>
      <c r="F8" s="1">
        <v>4.8000000000000001E-2</v>
      </c>
      <c r="G8" s="1">
        <v>4.8000000000000001E-2</v>
      </c>
      <c r="H8" s="21">
        <v>4.8000000000000001E-2</v>
      </c>
      <c r="I8" s="21">
        <v>4.8000000000000001E-2</v>
      </c>
      <c r="J8" s="21">
        <v>4.8000000000000001E-2</v>
      </c>
      <c r="K8" s="21">
        <v>4.8000000000000001E-2</v>
      </c>
      <c r="L8" s="21">
        <v>4.8000000000000001E-2</v>
      </c>
      <c r="M8" s="21">
        <v>4.8000000000000001E-2</v>
      </c>
      <c r="N8" s="1">
        <v>4.8000000000000001E-2</v>
      </c>
      <c r="O8" s="1">
        <v>4.8000000000000001E-2</v>
      </c>
      <c r="P8" s="1">
        <v>4.8000000000000001E-2</v>
      </c>
      <c r="Q8" s="1">
        <v>4.8000000000000001E-2</v>
      </c>
      <c r="R8" s="1">
        <v>4.8000000000000001E-2</v>
      </c>
      <c r="S8" s="1">
        <v>4.8000000000000001E-2</v>
      </c>
      <c r="T8" s="1">
        <v>4.8000000000000001E-2</v>
      </c>
    </row>
    <row r="9" spans="1:20" x14ac:dyDescent="0.3">
      <c r="A9" s="54" t="s">
        <v>112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 x14ac:dyDescent="0.3">
      <c r="A10" s="2" t="s">
        <v>40</v>
      </c>
      <c r="B10" s="3">
        <v>0.29599999999999999</v>
      </c>
      <c r="C10" s="3">
        <v>0.27626666666666699</v>
      </c>
      <c r="D10" s="3">
        <v>0.256533333333333</v>
      </c>
      <c r="E10" s="3">
        <v>0.23680000000000001</v>
      </c>
      <c r="F10" s="3">
        <v>0.23680000000000001</v>
      </c>
      <c r="G10" s="3">
        <v>0.23680000000000001</v>
      </c>
      <c r="H10" s="22">
        <v>0.29599999999999999</v>
      </c>
      <c r="I10" s="22">
        <v>0.27626666666666699</v>
      </c>
      <c r="J10" s="22">
        <v>0.27626666666666699</v>
      </c>
      <c r="K10" s="22">
        <v>0.256533333333333</v>
      </c>
      <c r="L10" s="22">
        <v>0.256533333333333</v>
      </c>
      <c r="M10" s="22">
        <v>0.256533333333333</v>
      </c>
      <c r="N10" s="3">
        <v>0.29599999999999999</v>
      </c>
      <c r="O10" s="3">
        <v>0.29599999999999999</v>
      </c>
      <c r="P10" s="3">
        <v>0.29599999999999999</v>
      </c>
      <c r="Q10" s="3">
        <v>0.29599999999999999</v>
      </c>
      <c r="R10" s="3">
        <v>0.29599999999999999</v>
      </c>
      <c r="S10" s="3">
        <v>0.29599999999999999</v>
      </c>
      <c r="T10" s="1">
        <v>0.38500000000000001</v>
      </c>
    </row>
    <row r="11" spans="1:20" x14ac:dyDescent="0.3">
      <c r="A11" s="2" t="s">
        <v>41</v>
      </c>
      <c r="B11" s="3">
        <v>0.499</v>
      </c>
      <c r="C11" s="3">
        <v>0.499</v>
      </c>
      <c r="D11" s="3">
        <v>0.499</v>
      </c>
      <c r="E11" s="3">
        <v>0.499</v>
      </c>
      <c r="F11" s="3">
        <v>0.499</v>
      </c>
      <c r="G11" s="3">
        <v>0.499</v>
      </c>
      <c r="H11" s="22">
        <v>0.499</v>
      </c>
      <c r="I11" s="22">
        <v>0.499</v>
      </c>
      <c r="J11" s="22">
        <v>0.499</v>
      </c>
      <c r="K11" s="22">
        <v>0.499</v>
      </c>
      <c r="L11" s="22">
        <v>0.499</v>
      </c>
      <c r="M11" s="22">
        <v>0.499</v>
      </c>
      <c r="N11" s="3">
        <v>0.499</v>
      </c>
      <c r="O11" s="3">
        <v>0.499</v>
      </c>
      <c r="P11" s="3">
        <v>0.499</v>
      </c>
      <c r="Q11" s="3">
        <v>0.499</v>
      </c>
      <c r="R11" s="3">
        <v>0.499</v>
      </c>
      <c r="S11" s="3">
        <v>0.499</v>
      </c>
      <c r="T11" s="1">
        <v>0.56999999999999995</v>
      </c>
    </row>
    <row r="12" spans="1:20" x14ac:dyDescent="0.3">
      <c r="A12" s="2" t="s">
        <v>42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 x14ac:dyDescent="0.3">
      <c r="A13" s="2" t="s">
        <v>43</v>
      </c>
      <c r="B13" s="1">
        <v>0.50600000000000001</v>
      </c>
      <c r="C13" s="1">
        <v>0.50600000000000001</v>
      </c>
      <c r="D13" s="1">
        <v>0.50600000000000001</v>
      </c>
      <c r="E13" s="1">
        <v>0.50600000000000001</v>
      </c>
      <c r="F13" s="1">
        <v>0.50600000000000001</v>
      </c>
      <c r="G13" s="1">
        <v>0.50600000000000001</v>
      </c>
      <c r="H13" s="21">
        <v>0.50600000000000001</v>
      </c>
      <c r="I13" s="21">
        <v>0.50600000000000001</v>
      </c>
      <c r="J13" s="21">
        <v>0.50600000000000001</v>
      </c>
      <c r="K13" s="21">
        <v>0.50600000000000001</v>
      </c>
      <c r="L13" s="21">
        <v>0.50600000000000001</v>
      </c>
      <c r="M13" s="21">
        <v>0.50600000000000001</v>
      </c>
      <c r="N13" s="1">
        <v>0.50600000000000001</v>
      </c>
      <c r="O13" s="1">
        <v>0.50600000000000001</v>
      </c>
      <c r="P13" s="1">
        <v>0.50600000000000001</v>
      </c>
      <c r="Q13" s="1">
        <v>0.50600000000000001</v>
      </c>
      <c r="R13" s="1">
        <v>0.50600000000000001</v>
      </c>
      <c r="S13" s="1">
        <v>0.50600000000000001</v>
      </c>
      <c r="T13" s="1">
        <v>0.54400000000000004</v>
      </c>
    </row>
    <row r="14" spans="1:20" x14ac:dyDescent="0.3">
      <c r="A14" s="2" t="s">
        <v>44</v>
      </c>
      <c r="B14" s="1">
        <v>0.50600000000000001</v>
      </c>
      <c r="C14" s="1">
        <v>0.50600000000000001</v>
      </c>
      <c r="D14" s="1">
        <v>0.50600000000000001</v>
      </c>
      <c r="E14" s="1">
        <v>0.50600000000000001</v>
      </c>
      <c r="F14" s="1">
        <v>0.50600000000000001</v>
      </c>
      <c r="G14" s="1">
        <v>0.50600000000000001</v>
      </c>
      <c r="H14" s="21">
        <v>0.50600000000000001</v>
      </c>
      <c r="I14" s="21">
        <v>0.50600000000000001</v>
      </c>
      <c r="J14" s="21">
        <v>0.50600000000000001</v>
      </c>
      <c r="K14" s="21">
        <v>0.50600000000000001</v>
      </c>
      <c r="L14" s="21">
        <v>0.50600000000000001</v>
      </c>
      <c r="M14" s="21">
        <v>0.50600000000000001</v>
      </c>
      <c r="N14" s="1">
        <v>0.50600000000000001</v>
      </c>
      <c r="O14" s="1">
        <v>0.50600000000000001</v>
      </c>
      <c r="P14" s="1">
        <v>0.50600000000000001</v>
      </c>
      <c r="Q14" s="1">
        <v>0.50600000000000001</v>
      </c>
      <c r="R14" s="1">
        <v>0.50600000000000001</v>
      </c>
      <c r="S14" s="1">
        <v>0.50600000000000001</v>
      </c>
      <c r="T14" s="1">
        <v>0.59499999999999997</v>
      </c>
    </row>
    <row r="15" spans="1:20" x14ac:dyDescent="0.3">
      <c r="A15" s="2" t="s">
        <v>45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 x14ac:dyDescent="0.3">
      <c r="A16" t="s">
        <v>46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</row>
    <row r="17" spans="1:20" x14ac:dyDescent="0.3">
      <c r="A17" s="54" t="s">
        <v>167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3">
      <c r="A18" s="54" t="s">
        <v>168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3">
      <c r="A19" s="54" t="s">
        <v>169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3">
      <c r="A20" s="54" t="s">
        <v>170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 x14ac:dyDescent="0.3">
      <c r="A21" s="54" t="s">
        <v>171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3" spans="1:20" x14ac:dyDescent="0.3">
      <c r="O23" s="55"/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42"/>
  <sheetViews>
    <sheetView zoomScale="85" zoomScaleNormal="85" workbookViewId="0">
      <selection activeCell="F77" sqref="F77"/>
    </sheetView>
  </sheetViews>
  <sheetFormatPr defaultColWidth="8.83203125" defaultRowHeight="14" x14ac:dyDescent="0.3"/>
  <cols>
    <col min="3" max="3" width="15.58203125" customWidth="1"/>
    <col min="4" max="4" width="10.33203125" customWidth="1"/>
    <col min="6" max="6" width="11" customWidth="1"/>
  </cols>
  <sheetData>
    <row r="1" spans="1:9" ht="42" x14ac:dyDescent="0.3">
      <c r="A1" s="8" t="s">
        <v>123</v>
      </c>
      <c r="B1" s="8" t="s">
        <v>124</v>
      </c>
      <c r="C1" s="8" t="s">
        <v>125</v>
      </c>
      <c r="D1" s="8" t="s">
        <v>126</v>
      </c>
      <c r="E1" s="8" t="s">
        <v>127</v>
      </c>
      <c r="F1" s="8" t="s">
        <v>128</v>
      </c>
      <c r="G1" s="8" t="s">
        <v>129</v>
      </c>
      <c r="H1" s="8" t="s">
        <v>130</v>
      </c>
      <c r="I1" s="8" t="s">
        <v>131</v>
      </c>
    </row>
    <row r="2" spans="1:9" x14ac:dyDescent="0.3">
      <c r="A2" s="8" t="s">
        <v>132</v>
      </c>
      <c r="B2" s="8" t="s">
        <v>133</v>
      </c>
      <c r="C2" s="11">
        <v>5000</v>
      </c>
      <c r="D2" s="12">
        <v>0</v>
      </c>
      <c r="E2" s="13" t="s">
        <v>134</v>
      </c>
      <c r="F2">
        <v>84.3</v>
      </c>
      <c r="G2">
        <v>1</v>
      </c>
      <c r="H2">
        <v>1</v>
      </c>
      <c r="I2" s="15">
        <v>1.4999999999999999E-2</v>
      </c>
    </row>
    <row r="3" spans="1:9" x14ac:dyDescent="0.3">
      <c r="A3" s="8" t="s">
        <v>133</v>
      </c>
      <c r="B3" s="8" t="s">
        <v>135</v>
      </c>
      <c r="C3" s="11">
        <v>9800</v>
      </c>
      <c r="D3" s="12">
        <v>0</v>
      </c>
      <c r="E3" s="13" t="s">
        <v>134</v>
      </c>
      <c r="I3" s="15">
        <v>1.1599999999999999E-2</v>
      </c>
    </row>
    <row r="4" spans="1:9" x14ac:dyDescent="0.3">
      <c r="A4" s="8" t="s">
        <v>136</v>
      </c>
      <c r="B4" s="8" t="s">
        <v>137</v>
      </c>
      <c r="C4" s="11">
        <v>14800</v>
      </c>
      <c r="D4" s="12">
        <v>0</v>
      </c>
      <c r="E4" s="13" t="s">
        <v>134</v>
      </c>
      <c r="I4" s="15">
        <v>1.6199999999999999E-2</v>
      </c>
    </row>
    <row r="5" spans="1:9" x14ac:dyDescent="0.3">
      <c r="A5" s="8" t="s">
        <v>137</v>
      </c>
      <c r="B5" s="8" t="s">
        <v>138</v>
      </c>
      <c r="C5" s="11">
        <v>13600</v>
      </c>
      <c r="D5" s="12">
        <v>0</v>
      </c>
      <c r="E5" s="13" t="s">
        <v>134</v>
      </c>
      <c r="I5" s="15">
        <v>1.6899999999999998E-2</v>
      </c>
    </row>
    <row r="6" spans="1:9" x14ac:dyDescent="0.3">
      <c r="A6" s="8" t="s">
        <v>136</v>
      </c>
      <c r="B6" s="8" t="s">
        <v>139</v>
      </c>
      <c r="C6" s="11">
        <v>14600</v>
      </c>
      <c r="D6" s="12">
        <v>0</v>
      </c>
      <c r="E6" s="13" t="s">
        <v>134</v>
      </c>
      <c r="I6" s="15">
        <v>1.7100000000000001E-2</v>
      </c>
    </row>
    <row r="7" spans="1:9" x14ac:dyDescent="0.3">
      <c r="A7" s="8" t="s">
        <v>139</v>
      </c>
      <c r="B7" s="8" t="s">
        <v>138</v>
      </c>
      <c r="C7" s="11">
        <v>14600</v>
      </c>
      <c r="D7" s="12">
        <v>0</v>
      </c>
      <c r="E7" s="13" t="s">
        <v>134</v>
      </c>
      <c r="I7" s="15">
        <v>1.7100000000000001E-2</v>
      </c>
    </row>
    <row r="8" spans="1:9" x14ac:dyDescent="0.3">
      <c r="A8" s="8" t="s">
        <v>137</v>
      </c>
      <c r="B8" s="8" t="s">
        <v>140</v>
      </c>
      <c r="C8" s="11">
        <v>14100</v>
      </c>
      <c r="D8" s="12">
        <v>0</v>
      </c>
      <c r="E8" s="13" t="s">
        <v>134</v>
      </c>
      <c r="I8" s="15">
        <v>1.7000000000000001E-2</v>
      </c>
    </row>
    <row r="9" spans="1:9" x14ac:dyDescent="0.3">
      <c r="A9" s="8" t="s">
        <v>141</v>
      </c>
      <c r="B9" s="8" t="s">
        <v>142</v>
      </c>
      <c r="C9" s="11">
        <v>29960</v>
      </c>
      <c r="D9" s="12">
        <v>0</v>
      </c>
      <c r="E9" s="13" t="s">
        <v>134</v>
      </c>
      <c r="I9" s="15">
        <v>1.89E-2</v>
      </c>
    </row>
    <row r="10" spans="1:9" x14ac:dyDescent="0.3">
      <c r="A10" s="8" t="s">
        <v>142</v>
      </c>
      <c r="B10" s="8" t="s">
        <v>143</v>
      </c>
      <c r="C10" s="11">
        <v>24800</v>
      </c>
      <c r="D10" s="12">
        <v>0</v>
      </c>
      <c r="E10" s="13" t="s">
        <v>134</v>
      </c>
      <c r="I10" s="15">
        <v>1.8700000000000001E-2</v>
      </c>
    </row>
    <row r="11" spans="1:9" x14ac:dyDescent="0.3">
      <c r="A11" s="8" t="s">
        <v>143</v>
      </c>
      <c r="B11" s="8" t="s">
        <v>144</v>
      </c>
      <c r="C11" s="11">
        <v>10000</v>
      </c>
      <c r="D11" s="12">
        <v>0</v>
      </c>
      <c r="E11" s="13" t="s">
        <v>134</v>
      </c>
      <c r="I11" s="15">
        <v>0.02</v>
      </c>
    </row>
    <row r="12" spans="1:9" x14ac:dyDescent="0.3">
      <c r="A12" s="8" t="s">
        <v>141</v>
      </c>
      <c r="B12" s="8" t="s">
        <v>132</v>
      </c>
      <c r="C12" s="11">
        <v>20000</v>
      </c>
      <c r="D12" s="12">
        <v>0</v>
      </c>
      <c r="E12" s="13" t="s">
        <v>134</v>
      </c>
      <c r="I12" s="15">
        <v>0.02</v>
      </c>
    </row>
    <row r="13" spans="1:9" x14ac:dyDescent="0.3">
      <c r="A13" s="8" t="s">
        <v>132</v>
      </c>
      <c r="B13" s="8" t="s">
        <v>142</v>
      </c>
      <c r="C13" s="11">
        <v>30800</v>
      </c>
      <c r="D13" s="12">
        <v>0</v>
      </c>
      <c r="E13" s="13" t="s">
        <v>134</v>
      </c>
      <c r="I13" s="15">
        <v>1.77E-2</v>
      </c>
    </row>
    <row r="14" spans="1:9" x14ac:dyDescent="0.3">
      <c r="A14" s="8" t="s">
        <v>145</v>
      </c>
      <c r="B14" s="8" t="s">
        <v>132</v>
      </c>
      <c r="C14" s="11">
        <v>10000</v>
      </c>
      <c r="D14" s="12">
        <v>0</v>
      </c>
      <c r="E14" s="13" t="s">
        <v>134</v>
      </c>
      <c r="I14" s="15">
        <v>0.02</v>
      </c>
    </row>
    <row r="15" spans="1:9" x14ac:dyDescent="0.3">
      <c r="A15" s="8" t="s">
        <v>142</v>
      </c>
      <c r="B15" s="8" t="s">
        <v>144</v>
      </c>
      <c r="C15" s="11">
        <v>24800</v>
      </c>
      <c r="D15" s="12">
        <v>0</v>
      </c>
      <c r="E15" s="13" t="s">
        <v>134</v>
      </c>
      <c r="I15" s="15">
        <v>1.8700000000000001E-2</v>
      </c>
    </row>
    <row r="16" spans="1:9" x14ac:dyDescent="0.3">
      <c r="A16" s="8" t="s">
        <v>142</v>
      </c>
      <c r="B16" s="8" t="s">
        <v>146</v>
      </c>
      <c r="C16" s="11">
        <v>27200</v>
      </c>
      <c r="D16" s="12">
        <v>0</v>
      </c>
      <c r="E16" s="13" t="s">
        <v>134</v>
      </c>
      <c r="I16" s="15">
        <v>1.83E-2</v>
      </c>
    </row>
    <row r="17" spans="1:9" x14ac:dyDescent="0.3">
      <c r="A17" s="8" t="s">
        <v>147</v>
      </c>
      <c r="B17" s="8" t="s">
        <v>148</v>
      </c>
      <c r="C17" s="11">
        <v>7200</v>
      </c>
      <c r="D17" s="12">
        <v>0</v>
      </c>
      <c r="E17" s="13" t="s">
        <v>134</v>
      </c>
      <c r="I17" s="15">
        <v>0.02</v>
      </c>
    </row>
    <row r="18" spans="1:9" x14ac:dyDescent="0.3">
      <c r="A18" s="8" t="s">
        <v>148</v>
      </c>
      <c r="B18" s="8" t="s">
        <v>149</v>
      </c>
      <c r="C18" s="11">
        <v>9600</v>
      </c>
      <c r="D18" s="12">
        <v>0</v>
      </c>
      <c r="E18" s="13" t="s">
        <v>134</v>
      </c>
      <c r="F18">
        <v>102.86</v>
      </c>
      <c r="I18" s="15">
        <v>2.35E-2</v>
      </c>
    </row>
    <row r="19" spans="1:9" x14ac:dyDescent="0.3">
      <c r="A19" s="8" t="s">
        <v>150</v>
      </c>
      <c r="B19" s="8" t="s">
        <v>148</v>
      </c>
      <c r="C19" s="11">
        <v>4800</v>
      </c>
      <c r="D19" s="12">
        <v>0</v>
      </c>
      <c r="E19" s="13" t="s">
        <v>134</v>
      </c>
      <c r="F19">
        <v>58.99</v>
      </c>
      <c r="I19" s="15">
        <v>2.35E-2</v>
      </c>
    </row>
    <row r="20" spans="1:9" x14ac:dyDescent="0.3">
      <c r="A20" s="8" t="s">
        <v>149</v>
      </c>
      <c r="B20" s="8" t="s">
        <v>151</v>
      </c>
      <c r="C20" s="11">
        <v>1200</v>
      </c>
      <c r="D20" s="12">
        <v>0</v>
      </c>
      <c r="E20" s="13" t="s">
        <v>134</v>
      </c>
      <c r="I20" s="15">
        <v>0.02</v>
      </c>
    </row>
    <row r="21" spans="1:9" x14ac:dyDescent="0.3">
      <c r="A21" s="8" t="s">
        <v>142</v>
      </c>
      <c r="B21" s="8" t="s">
        <v>133</v>
      </c>
      <c r="C21" s="11">
        <v>1000</v>
      </c>
      <c r="D21" s="12">
        <v>0</v>
      </c>
      <c r="E21" s="13" t="s">
        <v>134</v>
      </c>
      <c r="I21" s="15">
        <v>0.02</v>
      </c>
    </row>
    <row r="22" spans="1:9" x14ac:dyDescent="0.3">
      <c r="A22" s="8" t="s">
        <v>132</v>
      </c>
      <c r="B22" s="8" t="s">
        <v>139</v>
      </c>
      <c r="C22" s="11">
        <v>2000</v>
      </c>
      <c r="D22" s="12">
        <v>0</v>
      </c>
      <c r="E22" s="13" t="s">
        <v>134</v>
      </c>
      <c r="I22" s="15">
        <v>0.03</v>
      </c>
    </row>
    <row r="23" spans="1:9" x14ac:dyDescent="0.3">
      <c r="A23" s="8" t="s">
        <v>145</v>
      </c>
      <c r="B23" s="8" t="s">
        <v>142</v>
      </c>
      <c r="C23" s="11">
        <v>4000</v>
      </c>
      <c r="D23" s="12">
        <v>0</v>
      </c>
      <c r="E23" s="13" t="s">
        <v>134</v>
      </c>
      <c r="I23" s="15">
        <v>2.5000000000000001E-2</v>
      </c>
    </row>
    <row r="24" spans="1:9" x14ac:dyDescent="0.3">
      <c r="A24" s="8" t="s">
        <v>147</v>
      </c>
      <c r="B24" s="8" t="s">
        <v>152</v>
      </c>
      <c r="C24" s="11">
        <v>2500</v>
      </c>
      <c r="D24" s="12">
        <v>0</v>
      </c>
      <c r="E24" s="13" t="s">
        <v>134</v>
      </c>
      <c r="I24" s="15">
        <v>0.02</v>
      </c>
    </row>
    <row r="25" spans="1:9" x14ac:dyDescent="0.3">
      <c r="A25" s="8" t="s">
        <v>153</v>
      </c>
      <c r="B25" s="8" t="s">
        <v>154</v>
      </c>
      <c r="C25" s="11">
        <v>600</v>
      </c>
      <c r="D25" s="12">
        <v>0</v>
      </c>
      <c r="E25" s="13" t="s">
        <v>134</v>
      </c>
      <c r="I25" s="15">
        <v>0.02</v>
      </c>
    </row>
    <row r="26" spans="1:9" x14ac:dyDescent="0.3">
      <c r="A26" s="8" t="s">
        <v>145</v>
      </c>
      <c r="B26" s="8" t="s">
        <v>155</v>
      </c>
      <c r="C26" s="11">
        <v>10000</v>
      </c>
      <c r="D26" s="12">
        <v>0</v>
      </c>
      <c r="E26" s="13" t="s">
        <v>134</v>
      </c>
      <c r="I26" s="15">
        <v>8.3000000000000001E-3</v>
      </c>
    </row>
    <row r="27" spans="1:9" x14ac:dyDescent="0.3">
      <c r="A27" s="8" t="s">
        <v>155</v>
      </c>
      <c r="B27" s="8" t="s">
        <v>156</v>
      </c>
      <c r="C27" s="11">
        <v>10000</v>
      </c>
      <c r="D27" s="12">
        <v>0</v>
      </c>
      <c r="E27" s="13" t="s">
        <v>134</v>
      </c>
      <c r="I27" s="15">
        <v>8.3000000000000001E-3</v>
      </c>
    </row>
    <row r="28" spans="1:9" x14ac:dyDescent="0.3">
      <c r="A28" s="8" t="s">
        <v>155</v>
      </c>
      <c r="B28" s="8" t="s">
        <v>157</v>
      </c>
      <c r="C28" s="11">
        <v>15000</v>
      </c>
      <c r="D28" s="12">
        <v>0</v>
      </c>
      <c r="E28" s="13" t="s">
        <v>134</v>
      </c>
      <c r="I28" s="15">
        <v>8.3000000000000001E-3</v>
      </c>
    </row>
    <row r="29" spans="1:9" x14ac:dyDescent="0.3">
      <c r="A29" s="8" t="s">
        <v>155</v>
      </c>
      <c r="B29" s="8" t="s">
        <v>158</v>
      </c>
      <c r="C29" s="11">
        <v>10000</v>
      </c>
      <c r="D29" s="12">
        <v>0</v>
      </c>
      <c r="E29" s="13" t="s">
        <v>134</v>
      </c>
      <c r="I29" s="15">
        <v>8.3000000000000001E-3</v>
      </c>
    </row>
    <row r="30" spans="1:9" x14ac:dyDescent="0.3">
      <c r="A30" s="8" t="s">
        <v>141</v>
      </c>
      <c r="B30" s="8" t="s">
        <v>159</v>
      </c>
      <c r="C30" s="11">
        <v>2400</v>
      </c>
      <c r="D30" s="12">
        <v>0</v>
      </c>
      <c r="E30" s="13" t="s">
        <v>134</v>
      </c>
      <c r="I30" s="15">
        <v>1.9199999999999998E-2</v>
      </c>
    </row>
    <row r="31" spans="1:9" x14ac:dyDescent="0.3">
      <c r="A31" s="8" t="s">
        <v>141</v>
      </c>
      <c r="B31" s="8" t="s">
        <v>160</v>
      </c>
      <c r="C31" s="11">
        <v>3600</v>
      </c>
      <c r="D31" s="12">
        <v>0</v>
      </c>
      <c r="E31" s="13" t="s">
        <v>134</v>
      </c>
      <c r="I31" s="15">
        <v>1.9199999999999998E-2</v>
      </c>
    </row>
    <row r="32" spans="1:9" x14ac:dyDescent="0.3">
      <c r="A32" s="8" t="s">
        <v>141</v>
      </c>
      <c r="B32" s="8" t="s">
        <v>161</v>
      </c>
      <c r="C32" s="11">
        <v>7200</v>
      </c>
      <c r="D32" s="12">
        <v>0</v>
      </c>
      <c r="E32" s="13" t="s">
        <v>134</v>
      </c>
      <c r="I32" s="15">
        <v>1.9199999999999998E-2</v>
      </c>
    </row>
    <row r="33" spans="1:9" x14ac:dyDescent="0.3">
      <c r="A33" s="8" t="s">
        <v>159</v>
      </c>
      <c r="B33" s="8" t="s">
        <v>160</v>
      </c>
      <c r="C33" s="11">
        <v>4800</v>
      </c>
      <c r="D33" s="12">
        <v>0</v>
      </c>
      <c r="E33" s="13" t="s">
        <v>134</v>
      </c>
      <c r="I33" s="15">
        <v>1.9199999999999998E-2</v>
      </c>
    </row>
    <row r="34" spans="1:9" x14ac:dyDescent="0.3">
      <c r="A34" s="8" t="s">
        <v>160</v>
      </c>
      <c r="B34" s="8" t="s">
        <v>161</v>
      </c>
      <c r="C34" s="11">
        <v>4800</v>
      </c>
      <c r="D34" s="12">
        <v>0</v>
      </c>
      <c r="E34" s="13" t="s">
        <v>134</v>
      </c>
      <c r="I34" s="15">
        <v>1.9199999999999998E-2</v>
      </c>
    </row>
    <row r="35" spans="1:9" x14ac:dyDescent="0.3">
      <c r="A35" s="8" t="s">
        <v>139</v>
      </c>
      <c r="B35" s="8" t="s">
        <v>137</v>
      </c>
      <c r="C35" s="11">
        <v>3600</v>
      </c>
      <c r="D35" s="12">
        <v>0</v>
      </c>
      <c r="E35" s="13" t="s">
        <v>134</v>
      </c>
      <c r="I35" s="15">
        <v>8.3000000000000001E-3</v>
      </c>
    </row>
    <row r="36" spans="1:9" x14ac:dyDescent="0.3">
      <c r="A36" s="8" t="s">
        <v>135</v>
      </c>
      <c r="B36" s="8" t="s">
        <v>152</v>
      </c>
      <c r="C36" s="11">
        <v>3600</v>
      </c>
      <c r="D36" s="12">
        <v>0</v>
      </c>
      <c r="E36" s="13" t="s">
        <v>134</v>
      </c>
      <c r="I36" s="15">
        <v>8.0000000000000002E-3</v>
      </c>
    </row>
    <row r="37" spans="1:9" x14ac:dyDescent="0.3">
      <c r="A37" s="8" t="s">
        <v>135</v>
      </c>
      <c r="B37" s="8" t="s">
        <v>162</v>
      </c>
      <c r="C37" s="11">
        <v>3600</v>
      </c>
      <c r="D37" s="12">
        <v>0</v>
      </c>
      <c r="E37" s="13" t="s">
        <v>134</v>
      </c>
      <c r="I37" s="15">
        <v>8.0000000000000002E-3</v>
      </c>
    </row>
    <row r="38" spans="1:9" x14ac:dyDescent="0.3">
      <c r="A38" s="8" t="s">
        <v>135</v>
      </c>
      <c r="B38" s="8" t="s">
        <v>163</v>
      </c>
      <c r="C38" s="11">
        <v>4800</v>
      </c>
      <c r="D38" s="12">
        <v>0</v>
      </c>
      <c r="E38" s="13" t="s">
        <v>134</v>
      </c>
      <c r="I38" s="15">
        <v>8.0000000000000002E-3</v>
      </c>
    </row>
    <row r="39" spans="1:9" x14ac:dyDescent="0.3">
      <c r="A39" s="8" t="s">
        <v>153</v>
      </c>
      <c r="B39" s="8" t="s">
        <v>163</v>
      </c>
      <c r="C39" s="11">
        <v>4800</v>
      </c>
      <c r="D39" s="12">
        <v>0</v>
      </c>
      <c r="E39" s="13" t="s">
        <v>134</v>
      </c>
      <c r="I39" s="15">
        <v>8.0000000000000002E-3</v>
      </c>
    </row>
    <row r="40" spans="1:9" x14ac:dyDescent="0.3">
      <c r="A40" s="8" t="s">
        <v>146</v>
      </c>
      <c r="B40" s="8" t="s">
        <v>143</v>
      </c>
      <c r="C40" s="11">
        <v>2400</v>
      </c>
      <c r="D40" s="12">
        <v>0</v>
      </c>
      <c r="E40" s="13" t="s">
        <v>134</v>
      </c>
      <c r="I40" s="15">
        <v>1.34E-2</v>
      </c>
    </row>
    <row r="41" spans="1:9" x14ac:dyDescent="0.3">
      <c r="A41" s="8" t="s">
        <v>161</v>
      </c>
      <c r="B41" s="8" t="s">
        <v>142</v>
      </c>
      <c r="C41" s="11">
        <v>2000</v>
      </c>
      <c r="D41" s="12">
        <v>0</v>
      </c>
      <c r="E41" s="13" t="s">
        <v>134</v>
      </c>
      <c r="I41" s="15">
        <v>0.01</v>
      </c>
    </row>
    <row r="42" spans="1:9" x14ac:dyDescent="0.3">
      <c r="A42" s="8" t="s">
        <v>147</v>
      </c>
      <c r="B42" s="8" t="s">
        <v>163</v>
      </c>
      <c r="C42" s="11">
        <v>2640</v>
      </c>
      <c r="D42" s="12">
        <v>0</v>
      </c>
      <c r="E42" s="13" t="s">
        <v>134</v>
      </c>
      <c r="I42" s="16">
        <v>0.02</v>
      </c>
    </row>
    <row r="43" spans="1:9" x14ac:dyDescent="0.3">
      <c r="A43" s="8" t="s">
        <v>135</v>
      </c>
      <c r="B43" s="8" t="s">
        <v>139</v>
      </c>
      <c r="C43" s="11">
        <v>3000</v>
      </c>
      <c r="D43" s="12">
        <v>0</v>
      </c>
      <c r="E43" s="13" t="s">
        <v>164</v>
      </c>
      <c r="H43" s="8"/>
      <c r="I43" s="17">
        <v>7.4999999999999997E-2</v>
      </c>
    </row>
    <row r="44" spans="1:9" x14ac:dyDescent="0.3">
      <c r="A44" s="8" t="s">
        <v>135</v>
      </c>
      <c r="B44" s="8" t="s">
        <v>138</v>
      </c>
      <c r="C44" s="11">
        <v>7223</v>
      </c>
      <c r="D44" s="12">
        <v>0</v>
      </c>
      <c r="E44" s="13" t="s">
        <v>164</v>
      </c>
      <c r="H44" s="8"/>
      <c r="I44" s="17">
        <v>7.4999999999999997E-2</v>
      </c>
    </row>
    <row r="45" spans="1:9" x14ac:dyDescent="0.3">
      <c r="A45" s="8" t="s">
        <v>135</v>
      </c>
      <c r="B45" s="8" t="s">
        <v>149</v>
      </c>
      <c r="C45" s="11">
        <v>3000</v>
      </c>
      <c r="D45" s="12">
        <v>0</v>
      </c>
      <c r="E45" s="13" t="s">
        <v>164</v>
      </c>
      <c r="H45" s="8"/>
      <c r="I45" s="17">
        <v>7.6499999999999999E-2</v>
      </c>
    </row>
    <row r="46" spans="1:9" x14ac:dyDescent="0.3">
      <c r="A46" s="8" t="s">
        <v>141</v>
      </c>
      <c r="B46" s="8" t="s">
        <v>161</v>
      </c>
      <c r="C46" s="11">
        <v>3000</v>
      </c>
      <c r="D46" s="12">
        <v>0</v>
      </c>
      <c r="E46" s="13" t="s">
        <v>164</v>
      </c>
      <c r="H46" s="8"/>
      <c r="I46" s="17">
        <v>4.1200000000000001E-2</v>
      </c>
    </row>
    <row r="47" spans="1:9" x14ac:dyDescent="0.3">
      <c r="A47" s="8" t="s">
        <v>157</v>
      </c>
      <c r="B47" s="8" t="s">
        <v>154</v>
      </c>
      <c r="C47" s="11">
        <v>600</v>
      </c>
      <c r="D47" s="12">
        <v>0</v>
      </c>
      <c r="E47" s="13" t="s">
        <v>164</v>
      </c>
      <c r="H47" s="8"/>
      <c r="I47" s="17">
        <v>0.13700000000000001</v>
      </c>
    </row>
    <row r="48" spans="1:9" x14ac:dyDescent="0.3">
      <c r="A48" s="8" t="s">
        <v>153</v>
      </c>
      <c r="B48" s="8" t="s">
        <v>139</v>
      </c>
      <c r="C48" s="11">
        <v>7200</v>
      </c>
      <c r="D48" s="12">
        <v>0</v>
      </c>
      <c r="E48" s="13" t="s">
        <v>164</v>
      </c>
      <c r="H48" s="8"/>
      <c r="I48" s="17">
        <v>7.0000000000000007E-2</v>
      </c>
    </row>
    <row r="49" spans="1:9" x14ac:dyDescent="0.3">
      <c r="A49" s="8" t="s">
        <v>153</v>
      </c>
      <c r="B49" s="8" t="s">
        <v>138</v>
      </c>
      <c r="C49" s="11">
        <v>6400</v>
      </c>
      <c r="D49" s="12">
        <v>0</v>
      </c>
      <c r="E49" s="13" t="s">
        <v>164</v>
      </c>
      <c r="H49" s="8"/>
      <c r="I49" s="17">
        <v>7.0000000000000007E-2</v>
      </c>
    </row>
    <row r="50" spans="1:9" x14ac:dyDescent="0.3">
      <c r="A50" s="8" t="s">
        <v>153</v>
      </c>
      <c r="B50" s="8" t="s">
        <v>137</v>
      </c>
      <c r="C50" s="11">
        <v>7500</v>
      </c>
      <c r="D50" s="12">
        <v>0</v>
      </c>
      <c r="E50" s="13" t="s">
        <v>164</v>
      </c>
      <c r="H50" s="8"/>
      <c r="I50" s="17">
        <v>6.5000000000000002E-2</v>
      </c>
    </row>
    <row r="51" spans="1:9" x14ac:dyDescent="0.3">
      <c r="A51" s="8" t="s">
        <v>145</v>
      </c>
      <c r="B51" s="8" t="s">
        <v>133</v>
      </c>
      <c r="C51" s="11">
        <v>390</v>
      </c>
      <c r="D51" s="12">
        <v>0</v>
      </c>
      <c r="E51" s="13" t="s">
        <v>164</v>
      </c>
      <c r="H51" s="8"/>
      <c r="I51" s="17">
        <v>0.01</v>
      </c>
    </row>
    <row r="52" spans="1:9" x14ac:dyDescent="0.3">
      <c r="A52" s="8" t="s">
        <v>153</v>
      </c>
      <c r="B52" s="8" t="s">
        <v>145</v>
      </c>
      <c r="C52" s="11">
        <v>3000</v>
      </c>
      <c r="D52" s="12">
        <v>0</v>
      </c>
      <c r="E52" s="13" t="s">
        <v>164</v>
      </c>
      <c r="H52" s="8"/>
      <c r="I52" s="17">
        <v>0.03</v>
      </c>
    </row>
    <row r="53" spans="1:9" x14ac:dyDescent="0.3">
      <c r="A53" s="8" t="s">
        <v>142</v>
      </c>
      <c r="B53" s="8" t="s">
        <v>161</v>
      </c>
      <c r="C53" s="11">
        <v>300</v>
      </c>
      <c r="D53" s="12">
        <v>0</v>
      </c>
      <c r="E53" s="13" t="s">
        <v>164</v>
      </c>
      <c r="H53" s="8"/>
      <c r="I53" s="17">
        <v>1.7000000000000001E-2</v>
      </c>
    </row>
    <row r="54" spans="1:9" x14ac:dyDescent="0.3">
      <c r="A54" s="8" t="s">
        <v>158</v>
      </c>
      <c r="B54" s="8" t="s">
        <v>133</v>
      </c>
      <c r="C54" s="11">
        <v>8000</v>
      </c>
      <c r="D54" s="12">
        <v>0</v>
      </c>
      <c r="E54" s="13" t="s">
        <v>164</v>
      </c>
      <c r="H54" s="14"/>
      <c r="I54" s="17">
        <v>7.1999999999999995E-2</v>
      </c>
    </row>
    <row r="55" spans="1:9" x14ac:dyDescent="0.3">
      <c r="A55" s="8" t="s">
        <v>156</v>
      </c>
      <c r="B55" s="8" t="s">
        <v>144</v>
      </c>
      <c r="C55" s="11">
        <v>4000</v>
      </c>
      <c r="D55" s="12">
        <v>0</v>
      </c>
      <c r="E55" s="13" t="s">
        <v>164</v>
      </c>
      <c r="H55" s="8"/>
      <c r="I55" s="17">
        <v>7.0000000000000007E-2</v>
      </c>
    </row>
    <row r="56" spans="1:9" x14ac:dyDescent="0.3">
      <c r="A56" s="8" t="s">
        <v>156</v>
      </c>
      <c r="B56" s="8" t="s">
        <v>137</v>
      </c>
      <c r="C56" s="11">
        <v>8000</v>
      </c>
      <c r="D56" s="12">
        <v>0</v>
      </c>
      <c r="E56" s="13" t="s">
        <v>164</v>
      </c>
      <c r="H56" s="8"/>
      <c r="I56" s="17">
        <v>6.5000000000000002E-2</v>
      </c>
    </row>
    <row r="57" spans="1:9" x14ac:dyDescent="0.3">
      <c r="A57" s="8" t="s">
        <v>155</v>
      </c>
      <c r="B57" s="8" t="s">
        <v>152</v>
      </c>
      <c r="C57" s="11">
        <v>8000</v>
      </c>
      <c r="D57" s="12">
        <v>0</v>
      </c>
      <c r="E57" s="13" t="s">
        <v>164</v>
      </c>
      <c r="H57" s="8"/>
      <c r="I57" s="17">
        <v>6.5000000000000002E-2</v>
      </c>
    </row>
    <row r="58" spans="1:9" x14ac:dyDescent="0.3">
      <c r="A58" s="8" t="s">
        <v>150</v>
      </c>
      <c r="B58" s="8" t="s">
        <v>149</v>
      </c>
      <c r="C58" s="11">
        <v>21400</v>
      </c>
      <c r="D58" s="12">
        <v>0</v>
      </c>
      <c r="E58" s="13" t="s">
        <v>164</v>
      </c>
      <c r="F58">
        <v>211.29</v>
      </c>
      <c r="H58" s="8"/>
      <c r="I58" s="17">
        <v>6.5500000000000003E-2</v>
      </c>
    </row>
    <row r="59" spans="1:9" x14ac:dyDescent="0.3">
      <c r="A59" s="8" t="s">
        <v>141</v>
      </c>
      <c r="B59" s="8" t="s">
        <v>144</v>
      </c>
      <c r="C59" s="11">
        <v>20000</v>
      </c>
      <c r="D59" s="12">
        <v>0</v>
      </c>
      <c r="E59" s="13" t="s">
        <v>164</v>
      </c>
      <c r="H59" s="8"/>
      <c r="I59" s="17">
        <v>6.7500000000000004E-2</v>
      </c>
    </row>
    <row r="60" spans="1:9" x14ac:dyDescent="0.3">
      <c r="A60" s="8" t="s">
        <v>141</v>
      </c>
      <c r="B60" s="8" t="s">
        <v>139</v>
      </c>
      <c r="C60" s="11">
        <v>10000</v>
      </c>
      <c r="D60" s="12">
        <v>0</v>
      </c>
      <c r="E60" s="13" t="s">
        <v>164</v>
      </c>
      <c r="H60" s="8"/>
      <c r="I60" s="17">
        <v>7.0000000000000007E-2</v>
      </c>
    </row>
    <row r="61" spans="1:9" x14ac:dyDescent="0.3">
      <c r="A61" s="8" t="s">
        <v>132</v>
      </c>
      <c r="B61" s="8" t="s">
        <v>139</v>
      </c>
      <c r="C61" s="11">
        <v>8000</v>
      </c>
      <c r="D61" s="12">
        <v>0</v>
      </c>
      <c r="E61" s="13" t="s">
        <v>164</v>
      </c>
      <c r="H61" s="8"/>
      <c r="I61" s="17">
        <v>7.0000000000000007E-2</v>
      </c>
    </row>
    <row r="62" spans="1:9" x14ac:dyDescent="0.3">
      <c r="A62" s="8" t="s">
        <v>158</v>
      </c>
      <c r="B62" s="8" t="s">
        <v>136</v>
      </c>
      <c r="C62" s="11">
        <v>12000</v>
      </c>
      <c r="D62" s="12">
        <v>0</v>
      </c>
      <c r="E62" s="13" t="s">
        <v>164</v>
      </c>
      <c r="H62" s="14"/>
      <c r="I62" s="17">
        <v>7.0000000000000007E-2</v>
      </c>
    </row>
    <row r="63" spans="1:9" x14ac:dyDescent="0.3">
      <c r="A63" s="8" t="s">
        <v>163</v>
      </c>
      <c r="B63" s="8" t="s">
        <v>135</v>
      </c>
      <c r="C63" s="11">
        <v>2600</v>
      </c>
      <c r="D63" s="12">
        <v>0</v>
      </c>
      <c r="E63" s="13" t="s">
        <v>164</v>
      </c>
      <c r="H63" s="8"/>
      <c r="I63" s="17">
        <v>7.0000000000000001E-3</v>
      </c>
    </row>
    <row r="64" spans="1:9" x14ac:dyDescent="0.3">
      <c r="A64" s="8" t="s">
        <v>147</v>
      </c>
      <c r="B64" s="8" t="s">
        <v>149</v>
      </c>
      <c r="C64" s="11">
        <v>7800</v>
      </c>
      <c r="D64" s="12">
        <v>0</v>
      </c>
      <c r="E64" s="13" t="s">
        <v>164</v>
      </c>
      <c r="H64" s="8"/>
      <c r="I64" s="17">
        <v>6.7199999999999996E-2</v>
      </c>
    </row>
    <row r="65" spans="1:9" x14ac:dyDescent="0.3">
      <c r="A65" s="8" t="s">
        <v>150</v>
      </c>
      <c r="B65" s="8" t="s">
        <v>148</v>
      </c>
      <c r="C65" s="11">
        <v>3200</v>
      </c>
      <c r="D65" s="12">
        <v>0</v>
      </c>
      <c r="E65" s="13" t="s">
        <v>164</v>
      </c>
      <c r="F65">
        <v>171.75</v>
      </c>
      <c r="H65" s="8"/>
      <c r="I65" s="17">
        <v>6.5000000000000002E-2</v>
      </c>
    </row>
    <row r="66" spans="1:9" x14ac:dyDescent="0.3">
      <c r="A66" s="8" t="s">
        <v>157</v>
      </c>
      <c r="B66" s="8" t="s">
        <v>133</v>
      </c>
      <c r="C66" s="11">
        <v>8000</v>
      </c>
      <c r="D66" s="12">
        <v>0</v>
      </c>
      <c r="E66" s="13" t="s">
        <v>164</v>
      </c>
      <c r="H66" s="8"/>
      <c r="I66" s="17">
        <v>6.5000000000000002E-2</v>
      </c>
    </row>
    <row r="67" spans="1:9" x14ac:dyDescent="0.3">
      <c r="A67" s="8" t="s">
        <v>150</v>
      </c>
      <c r="B67" s="8" t="s">
        <v>147</v>
      </c>
      <c r="C67" s="11">
        <v>3000</v>
      </c>
      <c r="D67" s="12">
        <v>0</v>
      </c>
      <c r="E67" s="13" t="s">
        <v>164</v>
      </c>
      <c r="H67" s="8"/>
      <c r="I67" s="17">
        <v>0.01</v>
      </c>
    </row>
    <row r="68" spans="1:9" x14ac:dyDescent="0.3">
      <c r="A68" s="8" t="s">
        <v>142</v>
      </c>
      <c r="B68" s="8" t="s">
        <v>146</v>
      </c>
      <c r="C68" s="11">
        <v>3000</v>
      </c>
      <c r="D68" s="12">
        <v>0</v>
      </c>
      <c r="E68" s="13" t="s">
        <v>164</v>
      </c>
      <c r="H68" s="8"/>
      <c r="I68" s="17">
        <v>0.06</v>
      </c>
    </row>
    <row r="69" spans="1:9" x14ac:dyDescent="0.3">
      <c r="A69" s="8" t="s">
        <v>135</v>
      </c>
      <c r="B69" s="8" t="s">
        <v>133</v>
      </c>
      <c r="C69" s="11">
        <v>0</v>
      </c>
      <c r="D69" s="13">
        <v>59600</v>
      </c>
      <c r="E69" s="13" t="s">
        <v>134</v>
      </c>
      <c r="F69">
        <v>336.32</v>
      </c>
      <c r="I69" s="15">
        <v>1.66E-2</v>
      </c>
    </row>
    <row r="70" spans="1:9" x14ac:dyDescent="0.3">
      <c r="A70" s="8" t="s">
        <v>135</v>
      </c>
      <c r="B70" s="8" t="s">
        <v>162</v>
      </c>
      <c r="C70" s="11">
        <v>0</v>
      </c>
      <c r="D70" s="13">
        <v>29600</v>
      </c>
      <c r="E70" s="13" t="s">
        <v>134</v>
      </c>
      <c r="F70">
        <v>280.8</v>
      </c>
      <c r="I70" s="15">
        <v>1.8200000000000001E-2</v>
      </c>
    </row>
    <row r="71" spans="1:9" x14ac:dyDescent="0.3">
      <c r="A71" s="8" t="s">
        <v>162</v>
      </c>
      <c r="B71" s="8" t="s">
        <v>152</v>
      </c>
      <c r="C71" s="11">
        <v>0</v>
      </c>
      <c r="D71" s="13">
        <v>20000</v>
      </c>
      <c r="E71" s="13" t="s">
        <v>134</v>
      </c>
      <c r="F71" s="9">
        <v>347.3</v>
      </c>
      <c r="I71" s="15">
        <v>1.4999999999999999E-2</v>
      </c>
    </row>
    <row r="72" spans="1:9" x14ac:dyDescent="0.3">
      <c r="A72" s="8" t="s">
        <v>144</v>
      </c>
      <c r="B72" s="8" t="s">
        <v>133</v>
      </c>
      <c r="C72" s="11">
        <v>0</v>
      </c>
      <c r="D72" s="13">
        <v>20000</v>
      </c>
      <c r="E72" s="13" t="s">
        <v>134</v>
      </c>
      <c r="F72" s="9">
        <v>348.4</v>
      </c>
      <c r="I72" s="16">
        <v>1.4999999999999999E-2</v>
      </c>
    </row>
    <row r="73" spans="1:9" x14ac:dyDescent="0.3">
      <c r="A73" s="8" t="s">
        <v>145</v>
      </c>
      <c r="B73" s="8" t="s">
        <v>132</v>
      </c>
      <c r="C73" s="11">
        <v>0</v>
      </c>
      <c r="D73" s="13">
        <v>40000</v>
      </c>
      <c r="E73" s="13" t="s">
        <v>134</v>
      </c>
      <c r="F73" s="9">
        <v>446.35</v>
      </c>
      <c r="I73" s="15">
        <v>1.4999999999999999E-2</v>
      </c>
    </row>
    <row r="74" spans="1:9" x14ac:dyDescent="0.3">
      <c r="A74" s="8" t="s">
        <v>132</v>
      </c>
      <c r="B74" s="8" t="s">
        <v>139</v>
      </c>
      <c r="C74" s="11">
        <v>0</v>
      </c>
      <c r="D74" s="13">
        <v>20000</v>
      </c>
      <c r="E74" s="13" t="s">
        <v>134</v>
      </c>
      <c r="F74" s="9">
        <v>758.3</v>
      </c>
      <c r="I74" s="15">
        <v>1.4999999999999999E-2</v>
      </c>
    </row>
    <row r="75" spans="1:9" x14ac:dyDescent="0.3">
      <c r="A75" s="8" t="s">
        <v>140</v>
      </c>
      <c r="B75" s="8" t="s">
        <v>149</v>
      </c>
      <c r="C75" s="11">
        <v>0</v>
      </c>
      <c r="D75" s="13">
        <v>4800</v>
      </c>
      <c r="E75" s="13" t="s">
        <v>134</v>
      </c>
      <c r="F75" s="9">
        <v>251.6</v>
      </c>
      <c r="I75" s="15">
        <v>2.5000000000000001E-2</v>
      </c>
    </row>
    <row r="76" spans="1:9" x14ac:dyDescent="0.3">
      <c r="A76" s="8" t="s">
        <v>153</v>
      </c>
      <c r="B76" s="8" t="s">
        <v>163</v>
      </c>
      <c r="C76" s="11">
        <v>0</v>
      </c>
      <c r="D76" s="13">
        <v>29600</v>
      </c>
      <c r="E76" s="13" t="s">
        <v>134</v>
      </c>
      <c r="F76" s="9">
        <v>113.51</v>
      </c>
      <c r="I76" s="16">
        <v>1.8200000000000001E-2</v>
      </c>
    </row>
    <row r="77" spans="1:9" x14ac:dyDescent="0.3">
      <c r="A77" s="8" t="s">
        <v>145</v>
      </c>
      <c r="B77" s="8" t="s">
        <v>163</v>
      </c>
      <c r="C77" s="11">
        <v>0</v>
      </c>
      <c r="D77" s="13">
        <v>20000</v>
      </c>
      <c r="E77" s="13" t="s">
        <v>134</v>
      </c>
      <c r="F77" s="9">
        <v>283.93</v>
      </c>
      <c r="I77" s="15">
        <v>1.4999999999999999E-2</v>
      </c>
    </row>
    <row r="78" spans="1:9" x14ac:dyDescent="0.3">
      <c r="A78" s="8" t="s">
        <v>155</v>
      </c>
      <c r="B78" s="8" t="s">
        <v>153</v>
      </c>
      <c r="C78" s="11">
        <v>0</v>
      </c>
      <c r="D78" s="13">
        <v>20000</v>
      </c>
      <c r="E78" s="13" t="s">
        <v>134</v>
      </c>
      <c r="F78" s="9">
        <v>298.39999999999998</v>
      </c>
      <c r="I78" s="16">
        <v>1.4999999999999999E-2</v>
      </c>
    </row>
    <row r="79" spans="1:9" x14ac:dyDescent="0.3">
      <c r="A79" s="8" t="s">
        <v>155</v>
      </c>
      <c r="B79" s="8" t="s">
        <v>145</v>
      </c>
      <c r="C79" s="11">
        <v>0</v>
      </c>
      <c r="D79" s="13">
        <v>20000</v>
      </c>
      <c r="E79" s="13" t="s">
        <v>134</v>
      </c>
      <c r="F79" s="9">
        <v>256.63</v>
      </c>
      <c r="I79" s="15">
        <v>1.4999999999999999E-2</v>
      </c>
    </row>
    <row r="80" spans="1:9" x14ac:dyDescent="0.3">
      <c r="A80" s="8" t="s">
        <v>158</v>
      </c>
      <c r="B80" s="8" t="s">
        <v>157</v>
      </c>
      <c r="C80" s="11">
        <v>0</v>
      </c>
      <c r="D80" s="13">
        <v>20000</v>
      </c>
      <c r="E80" s="13" t="s">
        <v>134</v>
      </c>
      <c r="F80" s="9">
        <v>717.85</v>
      </c>
      <c r="I80" s="15">
        <v>0.02</v>
      </c>
    </row>
    <row r="81" spans="1:9" x14ac:dyDescent="0.3">
      <c r="A81" s="8" t="s">
        <v>158</v>
      </c>
      <c r="B81" s="8" t="s">
        <v>155</v>
      </c>
      <c r="C81" s="11">
        <v>0</v>
      </c>
      <c r="D81" s="13">
        <v>20000</v>
      </c>
      <c r="E81" s="13" t="s">
        <v>134</v>
      </c>
      <c r="F81" s="9">
        <v>806.44</v>
      </c>
      <c r="I81" s="15">
        <v>0.02</v>
      </c>
    </row>
    <row r="82" spans="1:9" x14ac:dyDescent="0.3">
      <c r="A82" s="8" t="s">
        <v>157</v>
      </c>
      <c r="B82" s="8" t="s">
        <v>155</v>
      </c>
      <c r="C82" s="11">
        <v>0</v>
      </c>
      <c r="D82" s="13">
        <v>20000</v>
      </c>
      <c r="E82" s="13" t="s">
        <v>134</v>
      </c>
      <c r="F82" s="9">
        <v>93.91</v>
      </c>
      <c r="I82" s="16">
        <v>0.02</v>
      </c>
    </row>
    <row r="83" spans="1:9" x14ac:dyDescent="0.3">
      <c r="A83" s="8" t="s">
        <v>155</v>
      </c>
      <c r="B83" s="8" t="s">
        <v>156</v>
      </c>
      <c r="C83" s="11">
        <v>0</v>
      </c>
      <c r="D83" s="13">
        <v>20000</v>
      </c>
      <c r="E83" s="13" t="s">
        <v>134</v>
      </c>
      <c r="F83" s="9">
        <v>176.16</v>
      </c>
      <c r="I83" s="16">
        <v>0.02</v>
      </c>
    </row>
    <row r="84" spans="1:9" x14ac:dyDescent="0.3">
      <c r="A84" s="8" t="s">
        <v>154</v>
      </c>
      <c r="B84" s="8" t="s">
        <v>153</v>
      </c>
      <c r="C84" s="11">
        <v>0</v>
      </c>
      <c r="D84" s="13">
        <v>10000</v>
      </c>
      <c r="E84" s="13" t="s">
        <v>134</v>
      </c>
      <c r="F84" s="9">
        <v>622.38</v>
      </c>
      <c r="I84" s="15">
        <v>1.4999999999999999E-2</v>
      </c>
    </row>
    <row r="85" spans="1:9" x14ac:dyDescent="0.3">
      <c r="A85" s="8" t="s">
        <v>163</v>
      </c>
      <c r="B85" s="8" t="s">
        <v>135</v>
      </c>
      <c r="C85" s="11">
        <v>0</v>
      </c>
      <c r="D85" s="13">
        <v>9600</v>
      </c>
      <c r="E85" s="13" t="s">
        <v>134</v>
      </c>
      <c r="F85" s="9">
        <v>377.39</v>
      </c>
      <c r="I85" s="15">
        <v>2.5000000000000001E-2</v>
      </c>
    </row>
    <row r="86" spans="1:9" x14ac:dyDescent="0.3">
      <c r="A86" s="8" t="s">
        <v>135</v>
      </c>
      <c r="B86" s="8" t="s">
        <v>152</v>
      </c>
      <c r="C86" s="11">
        <v>0</v>
      </c>
      <c r="D86" s="13">
        <v>9600</v>
      </c>
      <c r="E86" s="13" t="s">
        <v>134</v>
      </c>
      <c r="F86" s="9">
        <v>143.26</v>
      </c>
      <c r="I86" s="15">
        <v>2.5000000000000001E-2</v>
      </c>
    </row>
    <row r="87" spans="1:9" x14ac:dyDescent="0.3">
      <c r="A87" s="8" t="s">
        <v>150</v>
      </c>
      <c r="B87" s="8" t="s">
        <v>147</v>
      </c>
      <c r="C87" s="11">
        <v>0</v>
      </c>
      <c r="D87" s="13">
        <v>9600</v>
      </c>
      <c r="E87" s="13" t="s">
        <v>134</v>
      </c>
      <c r="F87" s="9">
        <v>216.6</v>
      </c>
      <c r="I87" s="15">
        <v>2.5000000000000001E-2</v>
      </c>
    </row>
    <row r="88" spans="1:9" x14ac:dyDescent="0.3">
      <c r="A88" s="8" t="s">
        <v>150</v>
      </c>
      <c r="B88" s="8" t="s">
        <v>148</v>
      </c>
      <c r="C88" s="11">
        <v>0</v>
      </c>
      <c r="D88" s="13">
        <v>9600</v>
      </c>
      <c r="E88" s="13" t="s">
        <v>134</v>
      </c>
      <c r="F88" s="9">
        <v>309.69</v>
      </c>
      <c r="I88" s="15">
        <v>2.5000000000000001E-2</v>
      </c>
    </row>
    <row r="89" spans="1:9" x14ac:dyDescent="0.3">
      <c r="A89" s="8" t="s">
        <v>149</v>
      </c>
      <c r="B89" s="8" t="s">
        <v>151</v>
      </c>
      <c r="C89" s="11">
        <v>0</v>
      </c>
      <c r="D89" s="13">
        <v>9600</v>
      </c>
      <c r="E89" s="13" t="s">
        <v>134</v>
      </c>
      <c r="F89" s="9">
        <v>229.42</v>
      </c>
      <c r="I89" s="15">
        <v>2.5000000000000001E-2</v>
      </c>
    </row>
    <row r="90" spans="1:9" x14ac:dyDescent="0.3">
      <c r="A90" s="8" t="s">
        <v>140</v>
      </c>
      <c r="B90" s="8" t="s">
        <v>137</v>
      </c>
      <c r="C90" s="11">
        <v>0</v>
      </c>
      <c r="D90" s="13">
        <v>30600</v>
      </c>
      <c r="E90" s="13" t="s">
        <v>134</v>
      </c>
      <c r="F90" s="9">
        <v>488</v>
      </c>
      <c r="I90" s="15">
        <v>1.8100000000000002E-2</v>
      </c>
    </row>
    <row r="91" spans="1:9" x14ac:dyDescent="0.3">
      <c r="A91" s="8" t="s">
        <v>136</v>
      </c>
      <c r="B91" s="8" t="s">
        <v>137</v>
      </c>
      <c r="C91" s="11">
        <v>0</v>
      </c>
      <c r="D91" s="13">
        <v>29600</v>
      </c>
      <c r="E91" s="13" t="s">
        <v>134</v>
      </c>
      <c r="F91" s="9">
        <v>399.15</v>
      </c>
      <c r="I91" s="15">
        <v>1.8200000000000001E-2</v>
      </c>
    </row>
    <row r="92" spans="1:9" x14ac:dyDescent="0.3">
      <c r="A92" s="8" t="s">
        <v>136</v>
      </c>
      <c r="B92" s="8" t="s">
        <v>139</v>
      </c>
      <c r="C92" s="11">
        <v>0</v>
      </c>
      <c r="D92" s="13">
        <v>31600</v>
      </c>
      <c r="E92" s="13" t="s">
        <v>134</v>
      </c>
      <c r="F92" s="9">
        <v>318.37</v>
      </c>
      <c r="I92" s="15">
        <v>1.7999999999999999E-2</v>
      </c>
    </row>
    <row r="93" spans="1:9" x14ac:dyDescent="0.3">
      <c r="A93" s="8" t="s">
        <v>141</v>
      </c>
      <c r="B93" s="8" t="s">
        <v>142</v>
      </c>
      <c r="C93" s="11">
        <v>0</v>
      </c>
      <c r="D93" s="13">
        <v>29600</v>
      </c>
      <c r="E93" s="13" t="s">
        <v>134</v>
      </c>
      <c r="F93" s="9">
        <v>415.93</v>
      </c>
      <c r="I93" s="15">
        <v>1.8200000000000001E-2</v>
      </c>
    </row>
    <row r="94" spans="1:9" x14ac:dyDescent="0.3">
      <c r="A94" s="8" t="s">
        <v>142</v>
      </c>
      <c r="B94" s="8" t="s">
        <v>146</v>
      </c>
      <c r="C94" s="11">
        <v>0</v>
      </c>
      <c r="D94" s="13">
        <v>49600</v>
      </c>
      <c r="E94" s="13" t="s">
        <v>134</v>
      </c>
      <c r="F94" s="9">
        <v>245.18</v>
      </c>
      <c r="I94" s="15">
        <v>1.6899999999999998E-2</v>
      </c>
    </row>
    <row r="95" spans="1:9" x14ac:dyDescent="0.3">
      <c r="A95" s="8" t="s">
        <v>142</v>
      </c>
      <c r="B95" s="8" t="s">
        <v>143</v>
      </c>
      <c r="C95" s="11">
        <v>0</v>
      </c>
      <c r="D95" s="13">
        <v>49600</v>
      </c>
      <c r="E95" s="13" t="s">
        <v>134</v>
      </c>
      <c r="F95" s="9">
        <v>162.86000000000001</v>
      </c>
      <c r="I95" s="15">
        <v>1.6899999999999998E-2</v>
      </c>
    </row>
    <row r="96" spans="1:9" x14ac:dyDescent="0.3">
      <c r="A96" s="8" t="s">
        <v>143</v>
      </c>
      <c r="B96" s="8" t="s">
        <v>146</v>
      </c>
      <c r="C96" s="11">
        <v>0</v>
      </c>
      <c r="D96" s="13">
        <v>9600</v>
      </c>
      <c r="E96" s="13" t="s">
        <v>134</v>
      </c>
      <c r="F96" s="9">
        <v>54.19</v>
      </c>
      <c r="I96" s="15">
        <v>2.5000000000000001E-2</v>
      </c>
    </row>
    <row r="97" spans="1:9" x14ac:dyDescent="0.3">
      <c r="A97" s="8" t="s">
        <v>132</v>
      </c>
      <c r="B97" s="8" t="s">
        <v>142</v>
      </c>
      <c r="C97" s="11">
        <v>0</v>
      </c>
      <c r="D97" s="13">
        <v>59200</v>
      </c>
      <c r="E97" s="13" t="s">
        <v>134</v>
      </c>
      <c r="F97" s="9">
        <v>199.84</v>
      </c>
      <c r="I97" s="16">
        <v>1.8200000000000001E-2</v>
      </c>
    </row>
    <row r="98" spans="1:9" x14ac:dyDescent="0.3">
      <c r="A98" s="8" t="s">
        <v>142</v>
      </c>
      <c r="B98" s="8" t="s">
        <v>144</v>
      </c>
      <c r="C98" s="11">
        <v>0</v>
      </c>
      <c r="D98" s="13">
        <v>49600</v>
      </c>
      <c r="E98" s="13" t="s">
        <v>134</v>
      </c>
      <c r="F98" s="9">
        <v>566.41999999999996</v>
      </c>
      <c r="I98" s="15">
        <v>1.6899999999999998E-2</v>
      </c>
    </row>
    <row r="99" spans="1:9" x14ac:dyDescent="0.3">
      <c r="A99" s="8" t="s">
        <v>160</v>
      </c>
      <c r="B99" s="8" t="s">
        <v>161</v>
      </c>
      <c r="C99" s="11">
        <v>0</v>
      </c>
      <c r="D99" s="13">
        <v>9600</v>
      </c>
      <c r="E99" s="13" t="s">
        <v>134</v>
      </c>
      <c r="F99" s="9">
        <v>140.78</v>
      </c>
      <c r="I99" s="15">
        <v>2.5000000000000001E-2</v>
      </c>
    </row>
    <row r="100" spans="1:9" x14ac:dyDescent="0.3">
      <c r="A100" s="8" t="s">
        <v>141</v>
      </c>
      <c r="B100" s="8" t="s">
        <v>161</v>
      </c>
      <c r="C100" s="11">
        <v>0</v>
      </c>
      <c r="D100" s="13">
        <v>9600</v>
      </c>
      <c r="E100" s="13" t="s">
        <v>134</v>
      </c>
      <c r="F100" s="9">
        <v>492.5</v>
      </c>
      <c r="I100" s="15">
        <v>2.5000000000000001E-2</v>
      </c>
    </row>
    <row r="101" spans="1:9" x14ac:dyDescent="0.3">
      <c r="A101" s="8" t="s">
        <v>159</v>
      </c>
      <c r="B101" s="8" t="s">
        <v>160</v>
      </c>
      <c r="C101" s="11">
        <v>0</v>
      </c>
      <c r="D101" s="13">
        <v>9600</v>
      </c>
      <c r="E101" s="13" t="s">
        <v>134</v>
      </c>
      <c r="F101" s="9">
        <v>115.57</v>
      </c>
      <c r="I101" s="15">
        <v>2.5000000000000001E-2</v>
      </c>
    </row>
    <row r="102" spans="1:9" x14ac:dyDescent="0.3">
      <c r="A102" s="8" t="s">
        <v>141</v>
      </c>
      <c r="B102" s="8" t="s">
        <v>159</v>
      </c>
      <c r="C102" s="11">
        <v>0</v>
      </c>
      <c r="D102" s="13">
        <v>9600</v>
      </c>
      <c r="E102" s="13" t="s">
        <v>134</v>
      </c>
      <c r="F102" s="9">
        <v>663.99</v>
      </c>
      <c r="I102" s="15">
        <v>2.5000000000000001E-2</v>
      </c>
    </row>
    <row r="103" spans="1:9" x14ac:dyDescent="0.3">
      <c r="A103" s="8" t="s">
        <v>141</v>
      </c>
      <c r="B103" s="8" t="s">
        <v>160</v>
      </c>
      <c r="C103" s="11">
        <v>0</v>
      </c>
      <c r="D103" s="13">
        <v>9600</v>
      </c>
      <c r="E103" s="13" t="s">
        <v>134</v>
      </c>
      <c r="F103" s="9">
        <v>587.26</v>
      </c>
      <c r="I103" s="15">
        <v>2.5000000000000001E-2</v>
      </c>
    </row>
    <row r="104" spans="1:9" x14ac:dyDescent="0.3">
      <c r="A104" s="8" t="s">
        <v>132</v>
      </c>
      <c r="B104" s="8" t="s">
        <v>133</v>
      </c>
      <c r="C104" s="11">
        <v>0</v>
      </c>
      <c r="D104" s="13">
        <v>10000</v>
      </c>
      <c r="E104" s="13" t="s">
        <v>134</v>
      </c>
      <c r="F104" s="9">
        <v>362</v>
      </c>
      <c r="I104" s="15">
        <v>1.4999999999999999E-2</v>
      </c>
    </row>
    <row r="105" spans="1:9" x14ac:dyDescent="0.3">
      <c r="A105" s="8" t="s">
        <v>137</v>
      </c>
      <c r="B105" s="8" t="s">
        <v>138</v>
      </c>
      <c r="C105" s="11">
        <v>0</v>
      </c>
      <c r="D105" s="13">
        <v>20000</v>
      </c>
      <c r="E105" s="13" t="s">
        <v>134</v>
      </c>
      <c r="F105" s="9">
        <v>137.5</v>
      </c>
      <c r="I105" s="15">
        <v>1.4999999999999999E-2</v>
      </c>
    </row>
    <row r="106" spans="1:9" x14ac:dyDescent="0.3">
      <c r="A106" s="8" t="s">
        <v>139</v>
      </c>
      <c r="B106" s="8" t="s">
        <v>138</v>
      </c>
      <c r="C106" s="11">
        <v>0</v>
      </c>
      <c r="D106" s="13">
        <v>22000</v>
      </c>
      <c r="E106" s="13" t="s">
        <v>134</v>
      </c>
      <c r="F106" s="9">
        <v>353</v>
      </c>
      <c r="I106" s="15">
        <v>1.4999999999999999E-2</v>
      </c>
    </row>
    <row r="107" spans="1:9" x14ac:dyDescent="0.3">
      <c r="A107" s="8" t="s">
        <v>143</v>
      </c>
      <c r="B107" s="8" t="s">
        <v>144</v>
      </c>
      <c r="C107" s="11">
        <v>0</v>
      </c>
      <c r="D107" s="13">
        <v>20000</v>
      </c>
      <c r="E107" s="13" t="s">
        <v>134</v>
      </c>
      <c r="F107" s="9">
        <v>278</v>
      </c>
      <c r="I107" s="15">
        <v>1.4999999999999999E-2</v>
      </c>
    </row>
    <row r="108" spans="1:9" x14ac:dyDescent="0.3">
      <c r="A108" s="8" t="s">
        <v>141</v>
      </c>
      <c r="B108" s="8" t="s">
        <v>132</v>
      </c>
      <c r="C108" s="11">
        <v>0</v>
      </c>
      <c r="D108" s="13">
        <v>40000</v>
      </c>
      <c r="E108" s="13" t="s">
        <v>134</v>
      </c>
      <c r="F108" s="9">
        <v>246</v>
      </c>
      <c r="I108" s="16">
        <v>1.4999999999999999E-2</v>
      </c>
    </row>
    <row r="109" spans="1:9" x14ac:dyDescent="0.3">
      <c r="A109" s="8" t="s">
        <v>150</v>
      </c>
      <c r="B109" s="8" t="s">
        <v>149</v>
      </c>
      <c r="C109" s="11">
        <v>0</v>
      </c>
      <c r="D109" s="18">
        <v>16000</v>
      </c>
      <c r="E109" s="13" t="s">
        <v>164</v>
      </c>
      <c r="F109" s="19">
        <v>182.43</v>
      </c>
      <c r="I109" s="17">
        <v>6.5000000000000002E-2</v>
      </c>
    </row>
    <row r="110" spans="1:9" x14ac:dyDescent="0.3">
      <c r="A110" s="8" t="s">
        <v>158</v>
      </c>
      <c r="B110" s="8" t="s">
        <v>153</v>
      </c>
      <c r="C110" s="11">
        <v>0</v>
      </c>
      <c r="D110" s="18">
        <v>24000</v>
      </c>
      <c r="E110" s="13" t="s">
        <v>164</v>
      </c>
      <c r="F110" s="19">
        <v>263.47000000000003</v>
      </c>
      <c r="I110" s="17">
        <v>6.5000000000000002E-2</v>
      </c>
    </row>
    <row r="111" spans="1:9" x14ac:dyDescent="0.3">
      <c r="A111" s="8" t="s">
        <v>153</v>
      </c>
      <c r="B111" s="8" t="s">
        <v>137</v>
      </c>
      <c r="C111" s="11">
        <v>0</v>
      </c>
      <c r="D111" s="18">
        <v>32000</v>
      </c>
      <c r="E111" s="13" t="s">
        <v>164</v>
      </c>
      <c r="F111" s="19">
        <v>203.76</v>
      </c>
      <c r="I111" s="17">
        <v>6.5000000000000002E-2</v>
      </c>
    </row>
    <row r="112" spans="1:9" x14ac:dyDescent="0.3">
      <c r="A112" s="8" t="s">
        <v>153</v>
      </c>
      <c r="B112" s="8" t="s">
        <v>139</v>
      </c>
      <c r="C112" s="11">
        <v>0</v>
      </c>
      <c r="D112" s="18">
        <v>16000</v>
      </c>
      <c r="E112" s="13" t="s">
        <v>164</v>
      </c>
      <c r="F112" s="19">
        <v>219.24</v>
      </c>
      <c r="I112" s="17">
        <v>6.5000000000000002E-2</v>
      </c>
    </row>
    <row r="113" spans="1:9" x14ac:dyDescent="0.3">
      <c r="A113" s="8" t="s">
        <v>145</v>
      </c>
      <c r="B113" s="8" t="s">
        <v>135</v>
      </c>
      <c r="C113" s="11">
        <v>0</v>
      </c>
      <c r="D113" s="18">
        <v>16000</v>
      </c>
      <c r="E113" s="13" t="s">
        <v>164</v>
      </c>
      <c r="F113" s="19">
        <v>166.33</v>
      </c>
      <c r="I113" s="17">
        <v>6.5000000000000002E-2</v>
      </c>
    </row>
    <row r="114" spans="1:9" x14ac:dyDescent="0.3">
      <c r="A114" s="8" t="s">
        <v>153</v>
      </c>
      <c r="B114" s="8" t="s">
        <v>162</v>
      </c>
      <c r="C114" s="11">
        <v>0</v>
      </c>
      <c r="D114" s="18">
        <v>16000</v>
      </c>
      <c r="E114" s="13" t="s">
        <v>164</v>
      </c>
      <c r="F114" s="19">
        <v>195.67</v>
      </c>
      <c r="I114" s="17">
        <v>6.5000000000000002E-2</v>
      </c>
    </row>
    <row r="115" spans="1:9" x14ac:dyDescent="0.3">
      <c r="A115" s="8" t="s">
        <v>158</v>
      </c>
      <c r="B115" s="8" t="s">
        <v>133</v>
      </c>
      <c r="C115" s="11">
        <v>0</v>
      </c>
      <c r="D115" s="18">
        <v>16000</v>
      </c>
      <c r="E115" s="13" t="s">
        <v>164</v>
      </c>
      <c r="F115" s="19">
        <v>232.77</v>
      </c>
      <c r="I115" s="17">
        <v>6.5000000000000002E-2</v>
      </c>
    </row>
    <row r="116" spans="1:9" x14ac:dyDescent="0.3">
      <c r="A116" s="8" t="s">
        <v>158</v>
      </c>
      <c r="B116" s="8" t="s">
        <v>136</v>
      </c>
      <c r="C116" s="11">
        <v>0</v>
      </c>
      <c r="D116" s="18">
        <v>16000</v>
      </c>
      <c r="E116" s="13" t="s">
        <v>164</v>
      </c>
      <c r="F116" s="19">
        <v>256.24</v>
      </c>
      <c r="I116" s="17">
        <v>6.5000000000000002E-2</v>
      </c>
    </row>
    <row r="117" spans="1:9" x14ac:dyDescent="0.3">
      <c r="A117" s="8" t="s">
        <v>158</v>
      </c>
      <c r="B117" s="8" t="s">
        <v>163</v>
      </c>
      <c r="C117" s="11">
        <v>0</v>
      </c>
      <c r="D117" s="18">
        <v>16000</v>
      </c>
      <c r="E117" s="13" t="s">
        <v>164</v>
      </c>
      <c r="F117" s="19">
        <v>220.68</v>
      </c>
      <c r="I117" s="17">
        <v>6.5000000000000002E-2</v>
      </c>
    </row>
    <row r="118" spans="1:9" x14ac:dyDescent="0.3">
      <c r="A118" s="8" t="s">
        <v>158</v>
      </c>
      <c r="B118" s="8" t="s">
        <v>135</v>
      </c>
      <c r="C118" s="11">
        <v>0</v>
      </c>
      <c r="D118" s="18">
        <v>16000</v>
      </c>
      <c r="E118" s="13" t="s">
        <v>164</v>
      </c>
      <c r="F118" s="19">
        <v>249.49</v>
      </c>
      <c r="I118" s="17">
        <v>6.5000000000000002E-2</v>
      </c>
    </row>
    <row r="119" spans="1:9" x14ac:dyDescent="0.3">
      <c r="A119" s="8" t="s">
        <v>158</v>
      </c>
      <c r="B119" s="8" t="s">
        <v>162</v>
      </c>
      <c r="C119" s="11">
        <v>0</v>
      </c>
      <c r="D119" s="18">
        <v>16000</v>
      </c>
      <c r="E119" s="13" t="s">
        <v>164</v>
      </c>
      <c r="F119" s="19">
        <v>262.22000000000003</v>
      </c>
      <c r="I119" s="17">
        <v>6.5000000000000002E-2</v>
      </c>
    </row>
    <row r="120" spans="1:9" x14ac:dyDescent="0.3">
      <c r="A120" s="8" t="s">
        <v>158</v>
      </c>
      <c r="B120" s="8" t="s">
        <v>152</v>
      </c>
      <c r="C120" s="11">
        <v>0</v>
      </c>
      <c r="D120" s="18">
        <v>16000</v>
      </c>
      <c r="E120" s="13" t="s">
        <v>164</v>
      </c>
      <c r="F120" s="19">
        <v>253.44</v>
      </c>
      <c r="I120" s="17">
        <v>6.5000000000000002E-2</v>
      </c>
    </row>
    <row r="121" spans="1:9" x14ac:dyDescent="0.3">
      <c r="A121" s="8" t="s">
        <v>156</v>
      </c>
      <c r="B121" s="8" t="s">
        <v>144</v>
      </c>
      <c r="C121" s="11">
        <v>0</v>
      </c>
      <c r="D121" s="18">
        <v>16000</v>
      </c>
      <c r="E121" s="13" t="s">
        <v>164</v>
      </c>
      <c r="F121" s="19">
        <v>157.62</v>
      </c>
      <c r="I121" s="17">
        <v>6.5000000000000002E-2</v>
      </c>
    </row>
    <row r="122" spans="1:9" x14ac:dyDescent="0.3">
      <c r="A122" s="8" t="s">
        <v>156</v>
      </c>
      <c r="B122" s="8" t="s">
        <v>137</v>
      </c>
      <c r="C122" s="11">
        <v>0</v>
      </c>
      <c r="D122" s="18">
        <v>16000</v>
      </c>
      <c r="E122" s="13" t="s">
        <v>164</v>
      </c>
      <c r="F122" s="19">
        <v>188.33</v>
      </c>
      <c r="I122" s="17">
        <v>6.5000000000000002E-2</v>
      </c>
    </row>
    <row r="123" spans="1:9" x14ac:dyDescent="0.3">
      <c r="A123" s="8" t="s">
        <v>156</v>
      </c>
      <c r="B123" s="8" t="s">
        <v>140</v>
      </c>
      <c r="C123" s="11">
        <v>0</v>
      </c>
      <c r="D123" s="18">
        <v>16000</v>
      </c>
      <c r="E123" s="13" t="s">
        <v>164</v>
      </c>
      <c r="F123" s="19">
        <v>202.25</v>
      </c>
      <c r="I123" s="17">
        <v>6.5000000000000002E-2</v>
      </c>
    </row>
    <row r="124" spans="1:9" x14ac:dyDescent="0.3">
      <c r="A124" s="8" t="s">
        <v>155</v>
      </c>
      <c r="B124" s="8" t="s">
        <v>152</v>
      </c>
      <c r="C124" s="11">
        <v>0</v>
      </c>
      <c r="D124" s="18">
        <v>16000</v>
      </c>
      <c r="E124" s="13" t="s">
        <v>164</v>
      </c>
      <c r="F124" s="19">
        <v>171.13</v>
      </c>
      <c r="I124" s="17">
        <v>6.5000000000000002E-2</v>
      </c>
    </row>
    <row r="125" spans="1:9" x14ac:dyDescent="0.3">
      <c r="A125" s="8" t="s">
        <v>155</v>
      </c>
      <c r="B125" s="8" t="s">
        <v>135</v>
      </c>
      <c r="C125" s="11">
        <v>0</v>
      </c>
      <c r="D125" s="18">
        <v>16000</v>
      </c>
      <c r="E125" s="13" t="s">
        <v>164</v>
      </c>
      <c r="F125" s="19">
        <v>167.39</v>
      </c>
      <c r="I125" s="17">
        <v>6.5000000000000002E-2</v>
      </c>
    </row>
    <row r="126" spans="1:9" x14ac:dyDescent="0.3">
      <c r="A126" s="8" t="s">
        <v>157</v>
      </c>
      <c r="B126" s="8" t="s">
        <v>133</v>
      </c>
      <c r="C126" s="11">
        <v>0</v>
      </c>
      <c r="D126" s="18">
        <v>16000</v>
      </c>
      <c r="E126" s="13" t="s">
        <v>164</v>
      </c>
      <c r="F126" s="19">
        <v>164.12</v>
      </c>
      <c r="I126" s="17">
        <v>6.5000000000000002E-2</v>
      </c>
    </row>
    <row r="127" spans="1:9" x14ac:dyDescent="0.3">
      <c r="A127" s="8" t="s">
        <v>157</v>
      </c>
      <c r="B127" s="8" t="s">
        <v>140</v>
      </c>
      <c r="C127" s="11">
        <v>0</v>
      </c>
      <c r="D127" s="18">
        <v>16000</v>
      </c>
      <c r="E127" s="13" t="s">
        <v>164</v>
      </c>
      <c r="F127" s="19">
        <v>211.95</v>
      </c>
      <c r="I127" s="17">
        <v>6.5000000000000002E-2</v>
      </c>
    </row>
    <row r="128" spans="1:9" x14ac:dyDescent="0.3">
      <c r="A128" s="8" t="s">
        <v>157</v>
      </c>
      <c r="B128" s="8" t="s">
        <v>162</v>
      </c>
      <c r="C128" s="11">
        <v>0</v>
      </c>
      <c r="D128" s="18">
        <v>16000</v>
      </c>
      <c r="E128" s="13" t="s">
        <v>164</v>
      </c>
      <c r="F128" s="19">
        <v>189.28</v>
      </c>
      <c r="I128" s="17">
        <v>6.5000000000000002E-2</v>
      </c>
    </row>
    <row r="129" spans="1:9" x14ac:dyDescent="0.3">
      <c r="A129" s="8" t="s">
        <v>150</v>
      </c>
      <c r="B129" s="8" t="s">
        <v>149</v>
      </c>
      <c r="C129" s="11">
        <v>0</v>
      </c>
      <c r="D129" s="18">
        <v>16000</v>
      </c>
      <c r="E129" s="13" t="s">
        <v>164</v>
      </c>
      <c r="F129" s="19">
        <v>163.71</v>
      </c>
      <c r="I129" s="17">
        <v>6.5000000000000002E-2</v>
      </c>
    </row>
    <row r="130" spans="1:9" x14ac:dyDescent="0.3">
      <c r="A130" s="8" t="s">
        <v>147</v>
      </c>
      <c r="B130" s="8" t="s">
        <v>149</v>
      </c>
      <c r="C130" s="11">
        <v>0</v>
      </c>
      <c r="D130" s="18">
        <v>16000</v>
      </c>
      <c r="E130" s="13" t="s">
        <v>164</v>
      </c>
      <c r="F130" s="19">
        <v>147.01</v>
      </c>
      <c r="I130" s="17">
        <v>6.5000000000000002E-2</v>
      </c>
    </row>
    <row r="131" spans="1:9" x14ac:dyDescent="0.3">
      <c r="A131" s="8" t="s">
        <v>153</v>
      </c>
      <c r="B131" s="8" t="s">
        <v>140</v>
      </c>
      <c r="C131" s="11">
        <v>0</v>
      </c>
      <c r="D131" s="18">
        <v>16000</v>
      </c>
      <c r="E131" s="13" t="s">
        <v>164</v>
      </c>
      <c r="F131" s="19">
        <v>188.69</v>
      </c>
      <c r="I131" s="17">
        <v>6.5000000000000002E-2</v>
      </c>
    </row>
    <row r="132" spans="1:9" x14ac:dyDescent="0.3">
      <c r="A132" s="8" t="s">
        <v>141</v>
      </c>
      <c r="B132" s="8" t="s">
        <v>163</v>
      </c>
      <c r="C132" s="11">
        <v>0</v>
      </c>
      <c r="D132" s="18">
        <v>16000</v>
      </c>
      <c r="E132" s="13" t="s">
        <v>164</v>
      </c>
      <c r="F132" s="19">
        <v>176.28</v>
      </c>
      <c r="I132" s="17">
        <v>6.5000000000000002E-2</v>
      </c>
    </row>
    <row r="133" spans="1:9" x14ac:dyDescent="0.3">
      <c r="A133" s="8" t="s">
        <v>141</v>
      </c>
      <c r="B133" s="8" t="s">
        <v>139</v>
      </c>
      <c r="C133" s="11">
        <v>0</v>
      </c>
      <c r="D133" s="18">
        <v>16000</v>
      </c>
      <c r="E133" s="13" t="s">
        <v>164</v>
      </c>
      <c r="F133" s="19">
        <v>167.77</v>
      </c>
      <c r="I133" s="17">
        <v>6.5000000000000002E-2</v>
      </c>
    </row>
    <row r="134" spans="1:9" x14ac:dyDescent="0.3">
      <c r="A134" s="8" t="s">
        <v>141</v>
      </c>
      <c r="B134" s="8" t="s">
        <v>136</v>
      </c>
      <c r="C134" s="11">
        <v>0</v>
      </c>
      <c r="D134" s="18">
        <v>16000</v>
      </c>
      <c r="E134" s="13" t="s">
        <v>164</v>
      </c>
      <c r="F134" s="19">
        <v>165.24</v>
      </c>
      <c r="I134" s="17">
        <v>6.5000000000000002E-2</v>
      </c>
    </row>
    <row r="135" spans="1:9" x14ac:dyDescent="0.3">
      <c r="A135" s="8" t="s">
        <v>141</v>
      </c>
      <c r="B135" s="8" t="s">
        <v>162</v>
      </c>
      <c r="C135" s="11">
        <v>0</v>
      </c>
      <c r="D135" s="18">
        <v>16000</v>
      </c>
      <c r="E135" s="13" t="s">
        <v>164</v>
      </c>
      <c r="F135" s="19">
        <v>179.97</v>
      </c>
      <c r="I135" s="17">
        <v>6.5000000000000002E-2</v>
      </c>
    </row>
    <row r="136" spans="1:9" x14ac:dyDescent="0.3">
      <c r="A136" s="8" t="s">
        <v>141</v>
      </c>
      <c r="B136" s="8" t="s">
        <v>152</v>
      </c>
      <c r="C136" s="11">
        <v>0</v>
      </c>
      <c r="D136" s="18">
        <v>16000</v>
      </c>
      <c r="E136" s="13" t="s">
        <v>164</v>
      </c>
      <c r="F136" s="19">
        <v>180.16</v>
      </c>
      <c r="I136" s="17">
        <v>6.5000000000000002E-2</v>
      </c>
    </row>
    <row r="137" spans="1:9" x14ac:dyDescent="0.3">
      <c r="A137" s="8" t="s">
        <v>155</v>
      </c>
      <c r="B137" s="8" t="s">
        <v>144</v>
      </c>
      <c r="C137" s="11">
        <v>0</v>
      </c>
      <c r="D137" s="18">
        <v>16000</v>
      </c>
      <c r="E137" s="13" t="s">
        <v>164</v>
      </c>
      <c r="F137" s="19">
        <v>150.43</v>
      </c>
      <c r="I137" s="17">
        <v>6.5000000000000002E-2</v>
      </c>
    </row>
    <row r="138" spans="1:9" x14ac:dyDescent="0.3">
      <c r="A138" s="8" t="s">
        <v>159</v>
      </c>
      <c r="B138" s="8" t="s">
        <v>142</v>
      </c>
      <c r="C138" s="11">
        <v>0</v>
      </c>
      <c r="D138" s="18">
        <v>16000</v>
      </c>
      <c r="E138" s="13" t="s">
        <v>164</v>
      </c>
      <c r="F138" s="19">
        <v>175.67</v>
      </c>
      <c r="I138" s="17">
        <v>6.5000000000000002E-2</v>
      </c>
    </row>
    <row r="139" spans="1:9" x14ac:dyDescent="0.3">
      <c r="A139" s="8" t="s">
        <v>161</v>
      </c>
      <c r="B139" s="8" t="s">
        <v>142</v>
      </c>
      <c r="C139" s="11">
        <v>0</v>
      </c>
      <c r="D139" s="18">
        <v>16000</v>
      </c>
      <c r="E139" s="13" t="s">
        <v>164</v>
      </c>
      <c r="F139" s="19">
        <v>152.5</v>
      </c>
      <c r="I139" s="17">
        <v>6.5000000000000002E-2</v>
      </c>
    </row>
    <row r="140" spans="1:9" x14ac:dyDescent="0.3">
      <c r="A140" s="8" t="s">
        <v>154</v>
      </c>
      <c r="B140" s="8" t="s">
        <v>133</v>
      </c>
      <c r="C140" s="11">
        <v>0</v>
      </c>
      <c r="D140" s="18">
        <v>16000</v>
      </c>
      <c r="E140" s="13" t="s">
        <v>164</v>
      </c>
      <c r="F140" s="19">
        <v>200.23</v>
      </c>
      <c r="I140" s="17">
        <v>6.5000000000000002E-2</v>
      </c>
    </row>
    <row r="141" spans="1:9" x14ac:dyDescent="0.3">
      <c r="A141" s="8" t="s">
        <v>154</v>
      </c>
      <c r="B141" s="8" t="s">
        <v>142</v>
      </c>
      <c r="C141" s="11">
        <v>0</v>
      </c>
      <c r="D141" s="18">
        <v>16000</v>
      </c>
      <c r="E141" s="13" t="s">
        <v>164</v>
      </c>
      <c r="F141" s="19">
        <v>209.42</v>
      </c>
      <c r="I141" s="17">
        <v>6.5000000000000002E-2</v>
      </c>
    </row>
    <row r="142" spans="1:9" x14ac:dyDescent="0.3">
      <c r="A142" s="8" t="s">
        <v>154</v>
      </c>
      <c r="B142" s="8" t="s">
        <v>149</v>
      </c>
      <c r="C142" s="11">
        <v>0</v>
      </c>
      <c r="D142" s="20">
        <v>16000</v>
      </c>
      <c r="E142" s="13" t="s">
        <v>164</v>
      </c>
      <c r="F142" s="19">
        <v>203.42</v>
      </c>
      <c r="I142" s="17">
        <v>6.5000000000000002E-2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3"/>
  <sheetViews>
    <sheetView workbookViewId="0">
      <selection activeCell="C17" sqref="C17"/>
    </sheetView>
  </sheetViews>
  <sheetFormatPr defaultColWidth="8.83203125" defaultRowHeight="14" x14ac:dyDescent="0.3"/>
  <sheetData>
    <row r="1" spans="1:4" ht="28" x14ac:dyDescent="0.3">
      <c r="A1" s="8" t="s">
        <v>123</v>
      </c>
      <c r="B1" s="8" t="s">
        <v>124</v>
      </c>
      <c r="C1" s="8" t="s">
        <v>165</v>
      </c>
      <c r="D1" s="8" t="s">
        <v>166</v>
      </c>
    </row>
    <row r="2" spans="1:4" x14ac:dyDescent="0.3">
      <c r="A2" s="9" t="s">
        <v>135</v>
      </c>
      <c r="B2" s="9" t="s">
        <v>133</v>
      </c>
      <c r="C2" s="10">
        <v>2.0559999999999998E-2</v>
      </c>
      <c r="D2" t="s">
        <v>134</v>
      </c>
    </row>
    <row r="3" spans="1:4" x14ac:dyDescent="0.3">
      <c r="A3" s="9" t="s">
        <v>135</v>
      </c>
      <c r="B3" s="9" t="s">
        <v>162</v>
      </c>
      <c r="C3" s="10">
        <v>1.521E-2</v>
      </c>
      <c r="D3" t="s">
        <v>134</v>
      </c>
    </row>
    <row r="4" spans="1:4" x14ac:dyDescent="0.3">
      <c r="A4" s="9" t="s">
        <v>162</v>
      </c>
      <c r="B4" s="9" t="s">
        <v>152</v>
      </c>
      <c r="C4" s="10">
        <v>1.7170000000000001E-2</v>
      </c>
      <c r="D4" t="s">
        <v>134</v>
      </c>
    </row>
    <row r="5" spans="1:4" x14ac:dyDescent="0.3">
      <c r="A5" s="9" t="s">
        <v>144</v>
      </c>
      <c r="B5" s="9" t="s">
        <v>133</v>
      </c>
      <c r="C5" s="10">
        <v>6.3678600000000003</v>
      </c>
      <c r="D5" t="s">
        <v>134</v>
      </c>
    </row>
    <row r="6" spans="1:4" x14ac:dyDescent="0.3">
      <c r="A6" s="9" t="s">
        <v>145</v>
      </c>
      <c r="B6" s="9" t="s">
        <v>132</v>
      </c>
      <c r="C6" s="10">
        <v>1.1809999999999999E-2</v>
      </c>
      <c r="D6" t="s">
        <v>134</v>
      </c>
    </row>
    <row r="7" spans="1:4" x14ac:dyDescent="0.3">
      <c r="A7" s="9" t="s">
        <v>132</v>
      </c>
      <c r="B7" s="9" t="s">
        <v>139</v>
      </c>
      <c r="C7" s="10">
        <v>19.9999</v>
      </c>
      <c r="D7" t="s">
        <v>134</v>
      </c>
    </row>
    <row r="8" spans="1:4" x14ac:dyDescent="0.3">
      <c r="A8" s="9" t="s">
        <v>140</v>
      </c>
      <c r="B8" s="9" t="s">
        <v>149</v>
      </c>
      <c r="C8" s="10">
        <v>4.7999599999999996</v>
      </c>
      <c r="D8" t="s">
        <v>134</v>
      </c>
    </row>
    <row r="9" spans="1:4" x14ac:dyDescent="0.3">
      <c r="A9" s="9" t="s">
        <v>162</v>
      </c>
      <c r="B9" s="9" t="s">
        <v>140</v>
      </c>
      <c r="C9" s="10">
        <v>9.6000000000000002E-4</v>
      </c>
      <c r="D9" t="s">
        <v>134</v>
      </c>
    </row>
    <row r="10" spans="1:4" x14ac:dyDescent="0.3">
      <c r="A10" s="9" t="s">
        <v>135</v>
      </c>
      <c r="B10" s="9" t="s">
        <v>136</v>
      </c>
      <c r="C10" s="10">
        <v>9.7000000000000005E-4</v>
      </c>
      <c r="D10" t="s">
        <v>134</v>
      </c>
    </row>
    <row r="11" spans="1:4" x14ac:dyDescent="0.3">
      <c r="A11" s="9" t="s">
        <v>162</v>
      </c>
      <c r="B11" s="9" t="s">
        <v>137</v>
      </c>
      <c r="C11" s="10">
        <v>9.7999999999999997E-4</v>
      </c>
      <c r="D11" t="s">
        <v>134</v>
      </c>
    </row>
    <row r="12" spans="1:4" x14ac:dyDescent="0.3">
      <c r="A12" s="9" t="s">
        <v>153</v>
      </c>
      <c r="B12" s="9" t="s">
        <v>163</v>
      </c>
      <c r="C12" s="10">
        <v>29.599900000000002</v>
      </c>
      <c r="D12" t="s">
        <v>134</v>
      </c>
    </row>
    <row r="13" spans="1:4" x14ac:dyDescent="0.3">
      <c r="A13" s="9" t="s">
        <v>145</v>
      </c>
      <c r="B13" s="9" t="s">
        <v>163</v>
      </c>
      <c r="C13" s="10">
        <v>11.471410000000001</v>
      </c>
      <c r="D13" t="s">
        <v>134</v>
      </c>
    </row>
    <row r="14" spans="1:4" x14ac:dyDescent="0.3">
      <c r="A14" s="9" t="s">
        <v>155</v>
      </c>
      <c r="B14" s="9" t="s">
        <v>153</v>
      </c>
      <c r="C14" s="10">
        <v>19.999929999999999</v>
      </c>
      <c r="D14" t="s">
        <v>134</v>
      </c>
    </row>
    <row r="15" spans="1:4" x14ac:dyDescent="0.3">
      <c r="A15" s="9" t="s">
        <v>155</v>
      </c>
      <c r="B15" s="9" t="s">
        <v>145</v>
      </c>
      <c r="C15" s="10">
        <v>19.999839999999999</v>
      </c>
      <c r="D15" t="s">
        <v>134</v>
      </c>
    </row>
    <row r="16" spans="1:4" x14ac:dyDescent="0.3">
      <c r="A16" s="9" t="s">
        <v>144</v>
      </c>
      <c r="B16" s="9" t="s">
        <v>139</v>
      </c>
      <c r="C16" s="10">
        <v>9.6000000000000002E-4</v>
      </c>
      <c r="D16" t="s">
        <v>134</v>
      </c>
    </row>
    <row r="17" spans="1:4" x14ac:dyDescent="0.3">
      <c r="A17" s="9" t="s">
        <v>158</v>
      </c>
      <c r="B17" s="9" t="s">
        <v>157</v>
      </c>
      <c r="C17" s="10">
        <v>19.998000000000001</v>
      </c>
      <c r="D17" t="s">
        <v>134</v>
      </c>
    </row>
    <row r="18" spans="1:4" x14ac:dyDescent="0.3">
      <c r="A18" s="9" t="s">
        <v>158</v>
      </c>
      <c r="B18" s="9" t="s">
        <v>155</v>
      </c>
      <c r="C18" s="10">
        <v>19.999680000000001</v>
      </c>
      <c r="D18" t="s">
        <v>134</v>
      </c>
    </row>
    <row r="19" spans="1:4" x14ac:dyDescent="0.3">
      <c r="A19" s="9" t="s">
        <v>157</v>
      </c>
      <c r="B19" s="9" t="s">
        <v>155</v>
      </c>
      <c r="C19" s="10">
        <v>14.33203</v>
      </c>
      <c r="D19" t="s">
        <v>134</v>
      </c>
    </row>
    <row r="20" spans="1:4" x14ac:dyDescent="0.3">
      <c r="A20" s="9" t="s">
        <v>155</v>
      </c>
      <c r="B20" s="9" t="s">
        <v>156</v>
      </c>
      <c r="C20" s="10">
        <v>17.5396</v>
      </c>
      <c r="D20" t="s">
        <v>134</v>
      </c>
    </row>
    <row r="21" spans="1:4" x14ac:dyDescent="0.3">
      <c r="A21" s="9" t="s">
        <v>132</v>
      </c>
      <c r="B21" s="9" t="s">
        <v>155</v>
      </c>
      <c r="C21" s="10">
        <v>9.7999999999999997E-4</v>
      </c>
      <c r="D21" t="s">
        <v>134</v>
      </c>
    </row>
    <row r="22" spans="1:4" x14ac:dyDescent="0.3">
      <c r="A22" s="9" t="s">
        <v>154</v>
      </c>
      <c r="B22" s="9" t="s">
        <v>153</v>
      </c>
      <c r="C22" s="10">
        <v>9.9999599999999997</v>
      </c>
      <c r="D22" t="s">
        <v>134</v>
      </c>
    </row>
    <row r="23" spans="1:4" x14ac:dyDescent="0.3">
      <c r="A23" s="9" t="s">
        <v>163</v>
      </c>
      <c r="B23" s="9" t="s">
        <v>135</v>
      </c>
      <c r="C23" s="10">
        <v>7.8195800000000002</v>
      </c>
      <c r="D23" t="s">
        <v>134</v>
      </c>
    </row>
    <row r="24" spans="1:4" x14ac:dyDescent="0.3">
      <c r="A24" s="9" t="s">
        <v>135</v>
      </c>
      <c r="B24" s="9" t="s">
        <v>152</v>
      </c>
      <c r="C24" s="10">
        <v>2.3914800000000001</v>
      </c>
      <c r="D24" t="s">
        <v>134</v>
      </c>
    </row>
    <row r="25" spans="1:4" x14ac:dyDescent="0.3">
      <c r="A25" s="9" t="s">
        <v>150</v>
      </c>
      <c r="B25" s="9" t="s">
        <v>147</v>
      </c>
      <c r="C25" s="10">
        <v>9.5999599999999994</v>
      </c>
      <c r="D25" t="s">
        <v>134</v>
      </c>
    </row>
    <row r="26" spans="1:4" x14ac:dyDescent="0.3">
      <c r="A26" s="9" t="s">
        <v>147</v>
      </c>
      <c r="B26" s="9" t="s">
        <v>148</v>
      </c>
      <c r="C26" s="10">
        <v>9.7999999999999997E-4</v>
      </c>
      <c r="D26" t="s">
        <v>134</v>
      </c>
    </row>
    <row r="27" spans="1:4" x14ac:dyDescent="0.3">
      <c r="A27" s="9" t="s">
        <v>147</v>
      </c>
      <c r="B27" s="9" t="s">
        <v>149</v>
      </c>
      <c r="C27" s="10">
        <v>9.7000000000000005E-4</v>
      </c>
      <c r="D27" t="s">
        <v>134</v>
      </c>
    </row>
    <row r="28" spans="1:4" x14ac:dyDescent="0.3">
      <c r="A28" s="9" t="s">
        <v>148</v>
      </c>
      <c r="B28" s="9" t="s">
        <v>149</v>
      </c>
      <c r="C28" s="10">
        <v>9.6000000000000002E-4</v>
      </c>
      <c r="D28" t="s">
        <v>134</v>
      </c>
    </row>
    <row r="29" spans="1:4" x14ac:dyDescent="0.3">
      <c r="A29" s="9" t="s">
        <v>150</v>
      </c>
      <c r="B29" s="9" t="s">
        <v>148</v>
      </c>
      <c r="C29" s="10">
        <v>9.5999700000000008</v>
      </c>
      <c r="D29" t="s">
        <v>134</v>
      </c>
    </row>
    <row r="30" spans="1:4" x14ac:dyDescent="0.3">
      <c r="A30" s="9" t="s">
        <v>149</v>
      </c>
      <c r="B30" s="9" t="s">
        <v>151</v>
      </c>
      <c r="C30" s="10">
        <v>9.59999</v>
      </c>
      <c r="D30" t="s">
        <v>134</v>
      </c>
    </row>
    <row r="31" spans="1:4" x14ac:dyDescent="0.3">
      <c r="A31" s="9" t="s">
        <v>140</v>
      </c>
      <c r="B31" s="9" t="s">
        <v>137</v>
      </c>
      <c r="C31" s="10">
        <v>15.28659</v>
      </c>
      <c r="D31" t="s">
        <v>134</v>
      </c>
    </row>
    <row r="32" spans="1:4" x14ac:dyDescent="0.3">
      <c r="A32" s="9" t="s">
        <v>136</v>
      </c>
      <c r="B32" s="9" t="s">
        <v>137</v>
      </c>
      <c r="C32" s="10">
        <v>1.661E-2</v>
      </c>
      <c r="D32" t="s">
        <v>134</v>
      </c>
    </row>
    <row r="33" spans="1:4" x14ac:dyDescent="0.3">
      <c r="A33" s="9" t="s">
        <v>136</v>
      </c>
      <c r="B33" s="9" t="s">
        <v>139</v>
      </c>
      <c r="C33" s="10">
        <v>1.383E-2</v>
      </c>
      <c r="D33" t="s">
        <v>134</v>
      </c>
    </row>
    <row r="34" spans="1:4" x14ac:dyDescent="0.3">
      <c r="A34" s="9" t="s">
        <v>141</v>
      </c>
      <c r="B34" s="9" t="s">
        <v>142</v>
      </c>
      <c r="C34" s="10">
        <v>29.599959999999999</v>
      </c>
      <c r="D34" t="s">
        <v>134</v>
      </c>
    </row>
    <row r="35" spans="1:4" x14ac:dyDescent="0.3">
      <c r="A35" s="9" t="s">
        <v>142</v>
      </c>
      <c r="B35" s="9" t="s">
        <v>146</v>
      </c>
      <c r="C35" s="10">
        <v>1.4E-2</v>
      </c>
      <c r="D35" t="s">
        <v>134</v>
      </c>
    </row>
    <row r="36" spans="1:4" x14ac:dyDescent="0.3">
      <c r="A36" s="9" t="s">
        <v>142</v>
      </c>
      <c r="B36" s="9" t="s">
        <v>143</v>
      </c>
      <c r="C36" s="10">
        <v>1.9099999999999999E-2</v>
      </c>
      <c r="D36" t="s">
        <v>134</v>
      </c>
    </row>
    <row r="37" spans="1:4" x14ac:dyDescent="0.3">
      <c r="A37" s="9" t="s">
        <v>143</v>
      </c>
      <c r="B37" s="9" t="s">
        <v>146</v>
      </c>
      <c r="C37" s="10">
        <v>2.1649999999999999E-2</v>
      </c>
      <c r="D37" t="s">
        <v>134</v>
      </c>
    </row>
    <row r="38" spans="1:4" x14ac:dyDescent="0.3">
      <c r="A38" s="9" t="s">
        <v>132</v>
      </c>
      <c r="B38" s="9" t="s">
        <v>142</v>
      </c>
      <c r="C38" s="10">
        <v>1.523E-2</v>
      </c>
      <c r="D38" t="s">
        <v>134</v>
      </c>
    </row>
    <row r="39" spans="1:4" x14ac:dyDescent="0.3">
      <c r="A39" s="9" t="s">
        <v>142</v>
      </c>
      <c r="B39" s="9" t="s">
        <v>144</v>
      </c>
      <c r="C39" s="10">
        <v>8.6860800000000005</v>
      </c>
      <c r="D39" t="s">
        <v>134</v>
      </c>
    </row>
    <row r="40" spans="1:4" x14ac:dyDescent="0.3">
      <c r="A40" s="9" t="s">
        <v>160</v>
      </c>
      <c r="B40" s="9" t="s">
        <v>161</v>
      </c>
      <c r="C40" s="10">
        <v>8.0834399999999995</v>
      </c>
      <c r="D40" t="s">
        <v>134</v>
      </c>
    </row>
    <row r="41" spans="1:4" x14ac:dyDescent="0.3">
      <c r="A41" s="9" t="s">
        <v>141</v>
      </c>
      <c r="B41" s="9" t="s">
        <v>161</v>
      </c>
      <c r="C41" s="10">
        <v>9.5998800000000006</v>
      </c>
      <c r="D41" t="s">
        <v>134</v>
      </c>
    </row>
    <row r="42" spans="1:4" x14ac:dyDescent="0.3">
      <c r="A42" s="9" t="s">
        <v>159</v>
      </c>
      <c r="B42" s="9" t="s">
        <v>160</v>
      </c>
      <c r="C42" s="10">
        <v>9.4033300000000004</v>
      </c>
      <c r="D42" t="s">
        <v>134</v>
      </c>
    </row>
    <row r="43" spans="1:4" x14ac:dyDescent="0.3">
      <c r="A43" s="9" t="s">
        <v>141</v>
      </c>
      <c r="B43" s="9" t="s">
        <v>159</v>
      </c>
      <c r="C43" s="10">
        <v>9.3492200000000008</v>
      </c>
      <c r="D43" t="s">
        <v>134</v>
      </c>
    </row>
    <row r="44" spans="1:4" x14ac:dyDescent="0.3">
      <c r="A44" s="9" t="s">
        <v>141</v>
      </c>
      <c r="B44" s="9" t="s">
        <v>160</v>
      </c>
      <c r="C44" s="10">
        <v>4.9816599999999998</v>
      </c>
      <c r="D44" t="s">
        <v>134</v>
      </c>
    </row>
    <row r="45" spans="1:4" x14ac:dyDescent="0.3">
      <c r="A45" s="9" t="s">
        <v>132</v>
      </c>
      <c r="B45" s="9" t="s">
        <v>133</v>
      </c>
      <c r="C45" s="10">
        <v>9.9998900000000006</v>
      </c>
      <c r="D45" t="s">
        <v>134</v>
      </c>
    </row>
    <row r="46" spans="1:4" x14ac:dyDescent="0.3">
      <c r="A46" s="9" t="s">
        <v>137</v>
      </c>
      <c r="B46" s="9" t="s">
        <v>138</v>
      </c>
      <c r="C46" s="10">
        <v>1.6490000000000001E-2</v>
      </c>
      <c r="D46" t="s">
        <v>134</v>
      </c>
    </row>
    <row r="47" spans="1:4" x14ac:dyDescent="0.3">
      <c r="A47" s="9" t="s">
        <v>139</v>
      </c>
      <c r="B47" s="9" t="s">
        <v>138</v>
      </c>
      <c r="C47" s="10">
        <v>1.9769999999999999E-2</v>
      </c>
      <c r="D47" t="s">
        <v>134</v>
      </c>
    </row>
    <row r="48" spans="1:4" x14ac:dyDescent="0.3">
      <c r="A48" s="9" t="s">
        <v>143</v>
      </c>
      <c r="B48" s="9" t="s">
        <v>144</v>
      </c>
      <c r="C48" s="10">
        <v>1.0189999999999999E-2</v>
      </c>
      <c r="D48" t="s">
        <v>134</v>
      </c>
    </row>
    <row r="49" spans="1:4" x14ac:dyDescent="0.3">
      <c r="A49" s="9" t="s">
        <v>141</v>
      </c>
      <c r="B49" s="9" t="s">
        <v>132</v>
      </c>
      <c r="C49" s="10">
        <v>39.999940000000002</v>
      </c>
      <c r="D49" t="s">
        <v>134</v>
      </c>
    </row>
    <row r="50" spans="1:4" x14ac:dyDescent="0.3">
      <c r="A50" s="9" t="s">
        <v>150</v>
      </c>
      <c r="B50" s="9" t="s">
        <v>149</v>
      </c>
      <c r="C50" s="10">
        <v>15.99966</v>
      </c>
      <c r="D50" t="s">
        <v>164</v>
      </c>
    </row>
    <row r="51" spans="1:4" x14ac:dyDescent="0.3">
      <c r="A51" s="9" t="s">
        <v>158</v>
      </c>
      <c r="B51" s="9" t="s">
        <v>153</v>
      </c>
      <c r="C51" s="10">
        <v>4.7800000000000004E-3</v>
      </c>
      <c r="D51" t="s">
        <v>164</v>
      </c>
    </row>
    <row r="52" spans="1:4" x14ac:dyDescent="0.3">
      <c r="A52" s="9" t="s">
        <v>153</v>
      </c>
      <c r="B52" s="9" t="s">
        <v>137</v>
      </c>
      <c r="C52" s="10">
        <v>31.999939999999999</v>
      </c>
      <c r="D52" t="s">
        <v>164</v>
      </c>
    </row>
    <row r="53" spans="1:4" x14ac:dyDescent="0.3">
      <c r="A53" s="9" t="s">
        <v>153</v>
      </c>
      <c r="B53" s="9" t="s">
        <v>139</v>
      </c>
      <c r="C53" s="10">
        <v>15.999919999999999</v>
      </c>
      <c r="D53" t="s">
        <v>164</v>
      </c>
    </row>
    <row r="54" spans="1:4" x14ac:dyDescent="0.3">
      <c r="A54" s="9" t="s">
        <v>145</v>
      </c>
      <c r="B54" s="9" t="s">
        <v>135</v>
      </c>
      <c r="C54" s="10">
        <v>1.8735200000000001</v>
      </c>
      <c r="D54" t="s">
        <v>164</v>
      </c>
    </row>
    <row r="55" spans="1:4" x14ac:dyDescent="0.3">
      <c r="A55" s="9" t="s">
        <v>153</v>
      </c>
      <c r="B55" s="9" t="s">
        <v>162</v>
      </c>
      <c r="C55" s="10">
        <v>15.999890000000001</v>
      </c>
      <c r="D55" t="s">
        <v>164</v>
      </c>
    </row>
    <row r="56" spans="1:4" x14ac:dyDescent="0.3">
      <c r="A56" s="9" t="s">
        <v>158</v>
      </c>
      <c r="B56" s="9" t="s">
        <v>133</v>
      </c>
      <c r="C56" s="10">
        <v>15.99498</v>
      </c>
      <c r="D56" t="s">
        <v>164</v>
      </c>
    </row>
    <row r="57" spans="1:4" x14ac:dyDescent="0.3">
      <c r="A57" s="9" t="s">
        <v>158</v>
      </c>
      <c r="B57" s="9" t="s">
        <v>136</v>
      </c>
      <c r="C57" s="10">
        <v>11.676729999999999</v>
      </c>
      <c r="D57" t="s">
        <v>164</v>
      </c>
    </row>
    <row r="58" spans="1:4" x14ac:dyDescent="0.3">
      <c r="A58" s="9" t="s">
        <v>158</v>
      </c>
      <c r="B58" s="9" t="s">
        <v>163</v>
      </c>
      <c r="C58" s="10">
        <v>7.7172799999999997</v>
      </c>
      <c r="D58" t="s">
        <v>164</v>
      </c>
    </row>
    <row r="59" spans="1:4" x14ac:dyDescent="0.3">
      <c r="A59" s="9" t="s">
        <v>158</v>
      </c>
      <c r="B59" s="9" t="s">
        <v>135</v>
      </c>
      <c r="C59" s="10">
        <v>8.8400300000000005</v>
      </c>
      <c r="D59" t="s">
        <v>164</v>
      </c>
    </row>
    <row r="60" spans="1:4" x14ac:dyDescent="0.3">
      <c r="A60" s="9" t="s">
        <v>158</v>
      </c>
      <c r="B60" s="9" t="s">
        <v>162</v>
      </c>
      <c r="C60" s="10">
        <v>0.55105999999999999</v>
      </c>
      <c r="D60" t="s">
        <v>164</v>
      </c>
    </row>
    <row r="61" spans="1:4" x14ac:dyDescent="0.3">
      <c r="A61" s="9" t="s">
        <v>158</v>
      </c>
      <c r="B61" s="9" t="s">
        <v>152</v>
      </c>
      <c r="C61" s="10">
        <v>4.19E-2</v>
      </c>
      <c r="D61" t="s">
        <v>164</v>
      </c>
    </row>
    <row r="62" spans="1:4" x14ac:dyDescent="0.3">
      <c r="A62" s="9" t="s">
        <v>156</v>
      </c>
      <c r="B62" s="9" t="s">
        <v>144</v>
      </c>
      <c r="C62" s="10">
        <v>10.98424</v>
      </c>
      <c r="D62" t="s">
        <v>164</v>
      </c>
    </row>
    <row r="63" spans="1:4" x14ac:dyDescent="0.3">
      <c r="A63" s="9" t="s">
        <v>156</v>
      </c>
      <c r="B63" s="9" t="s">
        <v>137</v>
      </c>
      <c r="C63" s="10">
        <v>5.8028899999999997</v>
      </c>
      <c r="D63" t="s">
        <v>164</v>
      </c>
    </row>
    <row r="64" spans="1:4" x14ac:dyDescent="0.3">
      <c r="A64" s="9" t="s">
        <v>156</v>
      </c>
      <c r="B64" s="9" t="s">
        <v>140</v>
      </c>
      <c r="C64" s="10">
        <v>6.2899999999999996E-3</v>
      </c>
      <c r="D64" t="s">
        <v>164</v>
      </c>
    </row>
    <row r="65" spans="1:4" x14ac:dyDescent="0.3">
      <c r="A65" s="9" t="s">
        <v>155</v>
      </c>
      <c r="B65" s="9" t="s">
        <v>152</v>
      </c>
      <c r="C65" s="10">
        <v>15.999829999999999</v>
      </c>
      <c r="D65" t="s">
        <v>164</v>
      </c>
    </row>
    <row r="66" spans="1:4" x14ac:dyDescent="0.3">
      <c r="A66" s="9" t="s">
        <v>155</v>
      </c>
      <c r="B66" s="9" t="s">
        <v>135</v>
      </c>
      <c r="C66" s="10">
        <v>15.999890000000001</v>
      </c>
      <c r="D66" t="s">
        <v>164</v>
      </c>
    </row>
    <row r="67" spans="1:4" x14ac:dyDescent="0.3">
      <c r="A67" s="9" t="s">
        <v>157</v>
      </c>
      <c r="B67" s="9" t="s">
        <v>133</v>
      </c>
      <c r="C67" s="10">
        <v>15.99985</v>
      </c>
      <c r="D67" t="s">
        <v>164</v>
      </c>
    </row>
    <row r="68" spans="1:4" x14ac:dyDescent="0.3">
      <c r="A68" s="9" t="s">
        <v>157</v>
      </c>
      <c r="B68" s="9" t="s">
        <v>140</v>
      </c>
      <c r="C68" s="10">
        <v>5.9259300000000001</v>
      </c>
      <c r="D68" t="s">
        <v>164</v>
      </c>
    </row>
    <row r="69" spans="1:4" x14ac:dyDescent="0.3">
      <c r="A69" s="9" t="s">
        <v>157</v>
      </c>
      <c r="B69" s="9" t="s">
        <v>162</v>
      </c>
      <c r="C69" s="10">
        <v>4.5094000000000003</v>
      </c>
      <c r="D69" t="s">
        <v>164</v>
      </c>
    </row>
    <row r="70" spans="1:4" x14ac:dyDescent="0.3">
      <c r="A70" s="9" t="s">
        <v>150</v>
      </c>
      <c r="B70" s="9" t="s">
        <v>149</v>
      </c>
      <c r="C70" s="10">
        <v>15.99982</v>
      </c>
      <c r="D70" t="s">
        <v>164</v>
      </c>
    </row>
    <row r="71" spans="1:4" x14ac:dyDescent="0.3">
      <c r="A71" s="9" t="s">
        <v>147</v>
      </c>
      <c r="B71" s="9" t="s">
        <v>149</v>
      </c>
      <c r="C71" s="10">
        <v>4.1200000000000004E-3</v>
      </c>
      <c r="D71" t="s">
        <v>164</v>
      </c>
    </row>
    <row r="72" spans="1:4" x14ac:dyDescent="0.3">
      <c r="A72" s="9" t="s">
        <v>153</v>
      </c>
      <c r="B72" s="9" t="s">
        <v>140</v>
      </c>
      <c r="C72" s="10">
        <v>15.999779999999999</v>
      </c>
      <c r="D72" t="s">
        <v>164</v>
      </c>
    </row>
    <row r="73" spans="1:4" x14ac:dyDescent="0.3">
      <c r="A73" s="9" t="s">
        <v>141</v>
      </c>
      <c r="B73" s="9" t="s">
        <v>163</v>
      </c>
      <c r="C73" s="10">
        <v>15.99995</v>
      </c>
      <c r="D73" t="s">
        <v>164</v>
      </c>
    </row>
    <row r="74" spans="1:4" x14ac:dyDescent="0.3">
      <c r="A74" s="9" t="s">
        <v>141</v>
      </c>
      <c r="B74" s="9" t="s">
        <v>139</v>
      </c>
      <c r="C74" s="10">
        <v>15.999969999999999</v>
      </c>
      <c r="D74" t="s">
        <v>164</v>
      </c>
    </row>
    <row r="75" spans="1:4" x14ac:dyDescent="0.3">
      <c r="A75" s="9" t="s">
        <v>141</v>
      </c>
      <c r="B75" s="9" t="s">
        <v>136</v>
      </c>
      <c r="C75" s="10">
        <v>15.999969999999999</v>
      </c>
      <c r="D75" t="s">
        <v>164</v>
      </c>
    </row>
    <row r="76" spans="1:4" x14ac:dyDescent="0.3">
      <c r="A76" s="9" t="s">
        <v>141</v>
      </c>
      <c r="B76" s="9" t="s">
        <v>162</v>
      </c>
      <c r="C76" s="10">
        <v>15.99996</v>
      </c>
      <c r="D76" t="s">
        <v>164</v>
      </c>
    </row>
    <row r="77" spans="1:4" x14ac:dyDescent="0.3">
      <c r="A77" s="9" t="s">
        <v>141</v>
      </c>
      <c r="B77" s="9" t="s">
        <v>152</v>
      </c>
      <c r="C77" s="10">
        <v>15.99996</v>
      </c>
      <c r="D77" t="s">
        <v>164</v>
      </c>
    </row>
    <row r="78" spans="1:4" x14ac:dyDescent="0.3">
      <c r="A78" s="9" t="s">
        <v>155</v>
      </c>
      <c r="B78" s="9" t="s">
        <v>144</v>
      </c>
      <c r="C78" s="10">
        <v>15.99996</v>
      </c>
      <c r="D78" t="s">
        <v>164</v>
      </c>
    </row>
    <row r="79" spans="1:4" x14ac:dyDescent="0.3">
      <c r="A79" s="9" t="s">
        <v>159</v>
      </c>
      <c r="B79" s="9" t="s">
        <v>142</v>
      </c>
      <c r="C79" s="10">
        <v>15.999930000000001</v>
      </c>
      <c r="D79" t="s">
        <v>164</v>
      </c>
    </row>
    <row r="80" spans="1:4" x14ac:dyDescent="0.3">
      <c r="A80" s="9" t="s">
        <v>161</v>
      </c>
      <c r="B80" s="9" t="s">
        <v>142</v>
      </c>
      <c r="C80" s="10">
        <v>15.999879999999999</v>
      </c>
      <c r="D80" t="s">
        <v>164</v>
      </c>
    </row>
    <row r="81" spans="1:4" x14ac:dyDescent="0.3">
      <c r="A81" s="9" t="s">
        <v>154</v>
      </c>
      <c r="B81" s="9" t="s">
        <v>133</v>
      </c>
      <c r="C81" s="10">
        <v>15.99999</v>
      </c>
      <c r="D81" t="s">
        <v>164</v>
      </c>
    </row>
    <row r="82" spans="1:4" x14ac:dyDescent="0.3">
      <c r="A82" s="9" t="s">
        <v>154</v>
      </c>
      <c r="B82" s="9" t="s">
        <v>142</v>
      </c>
      <c r="C82" s="10">
        <v>15.999980000000001</v>
      </c>
      <c r="D82" t="s">
        <v>164</v>
      </c>
    </row>
    <row r="83" spans="1:4" x14ac:dyDescent="0.3">
      <c r="A83" s="9" t="s">
        <v>154</v>
      </c>
      <c r="B83" s="9" t="s">
        <v>149</v>
      </c>
      <c r="C83" s="10">
        <v>15.999980000000001</v>
      </c>
      <c r="D83" t="s">
        <v>164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1"/>
  <sheetViews>
    <sheetView workbookViewId="0">
      <selection activeCell="L39" sqref="L39"/>
    </sheetView>
  </sheetViews>
  <sheetFormatPr defaultColWidth="9" defaultRowHeight="14" x14ac:dyDescent="0.3"/>
  <cols>
    <col min="1" max="1" width="12.58203125"/>
  </cols>
  <sheetData>
    <row r="1" spans="1:1" x14ac:dyDescent="0.3">
      <c r="A1">
        <v>5.0856164383561601E-2</v>
      </c>
    </row>
    <row r="2" spans="1:1" x14ac:dyDescent="0.3">
      <c r="A2">
        <v>5.0856164383561601E-2</v>
      </c>
    </row>
    <row r="3" spans="1:1" x14ac:dyDescent="0.3">
      <c r="A3">
        <v>6.6324200913241996E-2</v>
      </c>
    </row>
    <row r="4" spans="1:1" x14ac:dyDescent="0.3">
      <c r="A4">
        <v>0.25821917808219202</v>
      </c>
    </row>
    <row r="5" spans="1:1" x14ac:dyDescent="0.3">
      <c r="A5">
        <v>0.23384703196347001</v>
      </c>
    </row>
    <row r="6" spans="1:1" x14ac:dyDescent="0.3">
      <c r="A6">
        <v>0.26272831050228301</v>
      </c>
    </row>
    <row r="7" spans="1:1" x14ac:dyDescent="0.3">
      <c r="A7">
        <v>0.173116438356164</v>
      </c>
    </row>
    <row r="8" spans="1:1" x14ac:dyDescent="0.3">
      <c r="A8">
        <v>0.212899543378995</v>
      </c>
    </row>
    <row r="9" spans="1:1" x14ac:dyDescent="0.3">
      <c r="A9">
        <v>0.13242009132420099</v>
      </c>
    </row>
    <row r="10" spans="1:1" x14ac:dyDescent="0.3">
      <c r="A10">
        <v>0.13242009132420099</v>
      </c>
    </row>
    <row r="11" spans="1:1" x14ac:dyDescent="0.3">
      <c r="A11">
        <v>0.21181506849315099</v>
      </c>
    </row>
    <row r="12" spans="1:1" x14ac:dyDescent="0.3">
      <c r="A12">
        <v>0.176655251141553</v>
      </c>
    </row>
    <row r="13" spans="1:1" x14ac:dyDescent="0.3">
      <c r="A13">
        <v>0.41609589041095901</v>
      </c>
    </row>
    <row r="14" spans="1:1" x14ac:dyDescent="0.3">
      <c r="A14">
        <v>0.32711187214611898</v>
      </c>
    </row>
    <row r="15" spans="1:1" x14ac:dyDescent="0.3">
      <c r="A15">
        <v>4.9657534246575298E-2</v>
      </c>
    </row>
    <row r="16" spans="1:1" x14ac:dyDescent="0.3">
      <c r="A16">
        <v>0.29115296803653001</v>
      </c>
    </row>
    <row r="17" spans="1:1" x14ac:dyDescent="0.3">
      <c r="A17">
        <v>0.45936073059360699</v>
      </c>
    </row>
    <row r="18" spans="1:1" x14ac:dyDescent="0.3">
      <c r="A18">
        <v>0.39320776255707801</v>
      </c>
    </row>
    <row r="19" spans="1:1" x14ac:dyDescent="0.3">
      <c r="A19">
        <v>0.29086757990867601</v>
      </c>
    </row>
    <row r="20" spans="1:1" x14ac:dyDescent="0.3">
      <c r="A20">
        <v>0.44988584474885801</v>
      </c>
    </row>
    <row r="21" spans="1:1" x14ac:dyDescent="0.3">
      <c r="A21">
        <v>0.30610730593607299</v>
      </c>
    </row>
    <row r="22" spans="1:1" x14ac:dyDescent="0.3">
      <c r="A22">
        <v>0.42146118721461201</v>
      </c>
    </row>
    <row r="23" spans="1:1" x14ac:dyDescent="0.3">
      <c r="A23">
        <v>0.483447488584475</v>
      </c>
    </row>
    <row r="24" spans="1:1" x14ac:dyDescent="0.3">
      <c r="A24">
        <v>0.38961187214611898</v>
      </c>
    </row>
    <row r="25" spans="1:1" x14ac:dyDescent="0.3">
      <c r="A25">
        <v>0.47100456621004599</v>
      </c>
    </row>
    <row r="26" spans="1:1" x14ac:dyDescent="0.3">
      <c r="A26">
        <v>0.329280821917808</v>
      </c>
    </row>
    <row r="27" spans="1:1" x14ac:dyDescent="0.3">
      <c r="A27">
        <v>0.31889269406392701</v>
      </c>
    </row>
    <row r="28" spans="1:1" x14ac:dyDescent="0.3">
      <c r="A28">
        <v>0.4662100456621</v>
      </c>
    </row>
    <row r="29" spans="1:1" x14ac:dyDescent="0.3">
      <c r="A29">
        <v>0.40513698630137002</v>
      </c>
    </row>
    <row r="30" spans="1:1" x14ac:dyDescent="0.3">
      <c r="A30">
        <v>0.42288812785388102</v>
      </c>
    </row>
    <row r="31" spans="1:1" x14ac:dyDescent="0.3">
      <c r="A31">
        <v>0.42511415525114199</v>
      </c>
    </row>
  </sheetData>
  <phoneticPr fontId="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6"/>
  <sheetViews>
    <sheetView workbookViewId="0">
      <selection activeCell="H22" sqref="H22"/>
    </sheetView>
  </sheetViews>
  <sheetFormatPr defaultColWidth="9" defaultRowHeight="14" x14ac:dyDescent="0.3"/>
  <cols>
    <col min="2" max="7" width="9" hidden="1" customWidth="1"/>
    <col min="8" max="11" width="12.58203125"/>
    <col min="12" max="12" width="11.5"/>
    <col min="13" max="14" width="12.58203125"/>
  </cols>
  <sheetData>
    <row r="1" spans="1:19" x14ac:dyDescent="0.3">
      <c r="A1" s="1" t="s">
        <v>109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121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19" x14ac:dyDescent="0.3">
      <c r="A2" s="2" t="s">
        <v>32</v>
      </c>
      <c r="B2" s="5">
        <v>3661.5669781931401</v>
      </c>
      <c r="C2" s="5">
        <v>3341.7313084112102</v>
      </c>
      <c r="D2" s="5">
        <v>3113.27725856698</v>
      </c>
      <c r="E2" s="5">
        <v>3006.1401869158899</v>
      </c>
      <c r="F2" s="5">
        <v>2899.0031152647998</v>
      </c>
      <c r="G2" s="5">
        <v>2791.8660436137102</v>
      </c>
      <c r="H2">
        <v>20371.918087375801</v>
      </c>
      <c r="I2">
        <v>19160.237893047499</v>
      </c>
      <c r="J2">
        <v>18192.6371623249</v>
      </c>
      <c r="K2">
        <v>17565.0042559102</v>
      </c>
      <c r="L2">
        <v>16937.371349495599</v>
      </c>
      <c r="M2">
        <v>16309.7384430809</v>
      </c>
      <c r="N2" s="5">
        <v>3702.53115264797</v>
      </c>
      <c r="O2" s="5">
        <v>3584.36526479751</v>
      </c>
      <c r="P2" s="5">
        <v>3464.6238317756902</v>
      </c>
      <c r="Q2" s="5">
        <v>3344.8823987538799</v>
      </c>
      <c r="R2" s="5">
        <v>3225.1409657320801</v>
      </c>
      <c r="S2" s="5">
        <v>3105.3995327102698</v>
      </c>
    </row>
    <row r="3" spans="1:19" x14ac:dyDescent="0.3">
      <c r="A3" s="2" t="s">
        <v>33</v>
      </c>
      <c r="B3" s="5">
        <v>2162.6673706441402</v>
      </c>
      <c r="C3" s="5">
        <v>2097.1319957761398</v>
      </c>
      <c r="D3" s="5">
        <v>2049.24076029567</v>
      </c>
      <c r="E3" s="5">
        <v>2006.3907074973599</v>
      </c>
      <c r="F3" s="5">
        <v>1963.54065469905</v>
      </c>
      <c r="G3" s="5">
        <v>1925.7317845829</v>
      </c>
      <c r="H3">
        <v>6848.7494594804602</v>
      </c>
      <c r="I3">
        <v>6641.2115970719697</v>
      </c>
      <c r="J3">
        <v>6489.5493130042096</v>
      </c>
      <c r="K3">
        <v>6353.85147989096</v>
      </c>
      <c r="L3">
        <v>6218.1536467777096</v>
      </c>
      <c r="M3">
        <v>6098.4202646189697</v>
      </c>
      <c r="N3" s="5">
        <v>2162.6673706441402</v>
      </c>
      <c r="O3" s="5">
        <v>2097.1319957761398</v>
      </c>
      <c r="P3" s="5">
        <v>2049.24076029567</v>
      </c>
      <c r="Q3" s="5">
        <v>2006.3907074973599</v>
      </c>
      <c r="R3" s="5">
        <v>1963.54065469905</v>
      </c>
      <c r="S3" s="5">
        <v>1925.7317845829</v>
      </c>
    </row>
    <row r="4" spans="1:19" x14ac:dyDescent="0.3">
      <c r="A4" s="2" t="s">
        <v>34</v>
      </c>
      <c r="B4" s="5">
        <v>13475.7732667653</v>
      </c>
      <c r="C4" s="5">
        <v>12323.841921920901</v>
      </c>
      <c r="D4" s="5">
        <v>11528.4757547836</v>
      </c>
      <c r="E4" s="5">
        <v>10951.2388766849</v>
      </c>
      <c r="F4" s="5">
        <v>10497.882636251201</v>
      </c>
      <c r="G4" s="5">
        <v>10124.5174615224</v>
      </c>
      <c r="H4">
        <v>20179.029182718299</v>
      </c>
      <c r="I4">
        <v>18734.001463576002</v>
      </c>
      <c r="J4">
        <v>17716.026833661399</v>
      </c>
      <c r="K4">
        <v>16977.231896644302</v>
      </c>
      <c r="L4">
        <v>16396.989525088498</v>
      </c>
      <c r="M4">
        <v>15919.1262574875</v>
      </c>
      <c r="N4" s="5">
        <v>15544.4162371975</v>
      </c>
      <c r="O4" s="5">
        <v>14890.141564342301</v>
      </c>
      <c r="P4" s="5">
        <v>14389.626455868</v>
      </c>
      <c r="Q4" s="5">
        <v>14026.3776899607</v>
      </c>
      <c r="R4" s="5">
        <v>13741.0856355164</v>
      </c>
      <c r="S4" s="5">
        <v>13506.131071629699</v>
      </c>
    </row>
    <row r="5" spans="1:19" x14ac:dyDescent="0.3">
      <c r="A5" s="2" t="s">
        <v>35</v>
      </c>
      <c r="B5" s="5">
        <v>5619.4254445964398</v>
      </c>
      <c r="C5" s="5">
        <v>3661.5238912668001</v>
      </c>
      <c r="D5" s="5">
        <v>3432.6786480626201</v>
      </c>
      <c r="E5" s="5">
        <v>3203.8334048584502</v>
      </c>
      <c r="F5" s="5">
        <v>2974.9881616542698</v>
      </c>
      <c r="G5" s="5">
        <v>2746.1429184500998</v>
      </c>
      <c r="H5">
        <v>8779.68</v>
      </c>
      <c r="I5">
        <v>6959.0923077416801</v>
      </c>
      <c r="J5">
        <v>6611.1376923545904</v>
      </c>
      <c r="K5">
        <v>6263.1830769675098</v>
      </c>
      <c r="L5">
        <v>5915.2284615804201</v>
      </c>
      <c r="M5">
        <v>5567.2738461933404</v>
      </c>
      <c r="N5" s="5">
        <v>6399.1792065663503</v>
      </c>
      <c r="O5" s="5">
        <v>5230.74841609542</v>
      </c>
      <c r="P5" s="5">
        <v>5099.9797056930402</v>
      </c>
      <c r="Q5" s="5">
        <v>4969.2109952906503</v>
      </c>
      <c r="R5" s="5">
        <v>4838.4422848882696</v>
      </c>
      <c r="S5" s="5">
        <v>4707.6735744858797</v>
      </c>
    </row>
    <row r="6" spans="1:19" x14ac:dyDescent="0.3">
      <c r="A6" s="2" t="s">
        <v>36</v>
      </c>
      <c r="B6" s="5">
        <v>3181.0048801029102</v>
      </c>
      <c r="C6" s="5">
        <v>2138.4772263701202</v>
      </c>
      <c r="D6" s="5">
        <v>2006.9724837710601</v>
      </c>
      <c r="E6" s="5">
        <v>1875.4677411719999</v>
      </c>
      <c r="F6" s="5">
        <v>1743.96299857294</v>
      </c>
      <c r="G6" s="5">
        <v>1612.4582559738899</v>
      </c>
      <c r="H6">
        <v>7146.8309975217699</v>
      </c>
      <c r="I6">
        <v>5492.0072997343696</v>
      </c>
      <c r="J6">
        <v>5247.3148642722599</v>
      </c>
      <c r="K6">
        <v>5002.6224288101503</v>
      </c>
      <c r="L6">
        <v>4757.9299933480497</v>
      </c>
      <c r="M6">
        <v>4513.2375578859401</v>
      </c>
      <c r="N6" s="5">
        <v>3989.8831220554798</v>
      </c>
      <c r="O6" s="5">
        <v>3965.4285824584399</v>
      </c>
      <c r="P6" s="5">
        <v>3624.6317268190201</v>
      </c>
      <c r="Q6" s="5">
        <v>3283.8348711795702</v>
      </c>
      <c r="R6" s="5">
        <v>2943.0380155401299</v>
      </c>
      <c r="S6" s="5">
        <v>2602.24115990068</v>
      </c>
    </row>
    <row r="7" spans="1:19" x14ac:dyDescent="0.3">
      <c r="A7" s="2" t="s">
        <v>108</v>
      </c>
      <c r="B7" s="5">
        <v>14561</v>
      </c>
      <c r="C7" s="5">
        <v>13918.877915837</v>
      </c>
      <c r="D7" s="5">
        <v>13288.865744693599</v>
      </c>
      <c r="E7" s="5">
        <v>12658.853573550199</v>
      </c>
      <c r="F7" s="5">
        <v>12658.853573550199</v>
      </c>
      <c r="G7" s="5">
        <v>12658.853573550199</v>
      </c>
      <c r="H7">
        <v>18739.158914440501</v>
      </c>
      <c r="I7">
        <v>18855.565575966499</v>
      </c>
      <c r="J7">
        <v>18855.567052546001</v>
      </c>
      <c r="K7">
        <v>18101.343123058501</v>
      </c>
      <c r="L7">
        <v>18101.343123058501</v>
      </c>
      <c r="M7">
        <v>18101.343123058501</v>
      </c>
      <c r="N7" s="5">
        <v>14561</v>
      </c>
      <c r="O7" s="5">
        <v>14651.453307253099</v>
      </c>
      <c r="P7" s="5">
        <v>14651.453307253099</v>
      </c>
      <c r="Q7" s="5">
        <v>14651.453307253099</v>
      </c>
      <c r="R7" s="5">
        <v>14651.453307253099</v>
      </c>
      <c r="S7" s="5">
        <v>14651.453307253099</v>
      </c>
    </row>
    <row r="8" spans="1:19" x14ac:dyDescent="0.3">
      <c r="A8" s="2" t="s">
        <v>38</v>
      </c>
      <c r="B8" s="5">
        <v>15137.739148916</v>
      </c>
      <c r="C8" s="5">
        <v>14977.9646171941</v>
      </c>
      <c r="D8" s="5">
        <v>14472.7890651179</v>
      </c>
      <c r="E8" s="5">
        <v>13967.6302391917</v>
      </c>
      <c r="F8" s="5">
        <v>13462.4631356259</v>
      </c>
      <c r="G8" s="5">
        <v>12957.287836855499</v>
      </c>
      <c r="H8">
        <v>51254.762262582903</v>
      </c>
      <c r="I8">
        <v>50713.782823152898</v>
      </c>
      <c r="J8">
        <v>49003.312549631701</v>
      </c>
      <c r="K8">
        <v>47292.898909062103</v>
      </c>
      <c r="L8">
        <v>45582.457241291901</v>
      </c>
      <c r="M8">
        <v>43871.987825437202</v>
      </c>
      <c r="N8" s="5">
        <v>15137.739148916</v>
      </c>
      <c r="O8" s="5">
        <v>14977.9646171941</v>
      </c>
      <c r="P8" s="5">
        <v>14472.7890651179</v>
      </c>
      <c r="Q8" s="5">
        <v>13967.6302391917</v>
      </c>
      <c r="R8" s="5">
        <v>13462.4631356259</v>
      </c>
      <c r="S8" s="5">
        <v>12957.287836855499</v>
      </c>
    </row>
    <row r="9" spans="1:19" x14ac:dyDescent="0.3">
      <c r="A9" s="54" t="s">
        <v>112</v>
      </c>
      <c r="B9" s="5">
        <v>3254.6503732139299</v>
      </c>
      <c r="C9" s="5">
        <v>2201.6752524682702</v>
      </c>
      <c r="D9" s="5">
        <v>2064.0705491889998</v>
      </c>
      <c r="E9" s="5">
        <v>1926.46584590973</v>
      </c>
      <c r="F9" s="5">
        <v>1788.8611426304701</v>
      </c>
      <c r="G9" s="5">
        <v>1651.2564393512</v>
      </c>
      <c r="H9">
        <v>4893.0169233036904</v>
      </c>
      <c r="I9">
        <v>4219.1362507179501</v>
      </c>
      <c r="J9">
        <v>3957.9697761238299</v>
      </c>
      <c r="K9">
        <v>3694.2737604539502</v>
      </c>
      <c r="L9">
        <v>3430.5777447840801</v>
      </c>
      <c r="M9">
        <v>3167.5898224345401</v>
      </c>
      <c r="N9" s="5">
        <v>4248.84316445682</v>
      </c>
      <c r="O9" s="5">
        <v>3800.3030795099799</v>
      </c>
      <c r="P9" s="5">
        <v>3800.3030795099799</v>
      </c>
      <c r="Q9" s="5">
        <v>3800.3030795099799</v>
      </c>
      <c r="R9" s="5">
        <v>3800.3030795099799</v>
      </c>
      <c r="S9" s="5">
        <v>3800.3030795099799</v>
      </c>
    </row>
    <row r="10" spans="1:19" x14ac:dyDescent="0.3">
      <c r="A10" s="2" t="s">
        <v>40</v>
      </c>
      <c r="B10" s="5">
        <v>7138.5317631806402</v>
      </c>
      <c r="C10" s="5">
        <v>6084.6248919619702</v>
      </c>
      <c r="D10" s="5">
        <v>5065.3290838375096</v>
      </c>
      <c r="E10" s="5">
        <v>4381.7605877268797</v>
      </c>
      <c r="F10" s="5">
        <v>4189.66918755402</v>
      </c>
      <c r="G10" s="5">
        <v>3995.8472342264399</v>
      </c>
      <c r="H10">
        <v>36367.840077249501</v>
      </c>
      <c r="I10">
        <v>32994.313205270701</v>
      </c>
      <c r="J10">
        <v>29707.9575702939</v>
      </c>
      <c r="K10">
        <v>27275.880057937102</v>
      </c>
      <c r="L10">
        <v>26072.916987309</v>
      </c>
      <c r="M10">
        <v>24869.953916680901</v>
      </c>
      <c r="N10" s="5">
        <v>7301.2037597234103</v>
      </c>
      <c r="O10" s="5">
        <v>7017.39304235091</v>
      </c>
      <c r="P10" s="5">
        <v>6731.8517718236699</v>
      </c>
      <c r="Q10" s="5">
        <v>6448.0410544511697</v>
      </c>
      <c r="R10" s="5">
        <v>6162.4997839239304</v>
      </c>
      <c r="S10" s="5">
        <v>5878.6890665514302</v>
      </c>
    </row>
    <row r="11" spans="1:19" x14ac:dyDescent="0.3">
      <c r="A11" s="2" t="s">
        <v>41</v>
      </c>
      <c r="B11" s="5">
        <v>4434.0725302209203</v>
      </c>
      <c r="C11" s="5">
        <v>3969.8374322634299</v>
      </c>
      <c r="D11" s="5">
        <v>3508.1117132138402</v>
      </c>
      <c r="E11" s="5">
        <v>3151.7799082951101</v>
      </c>
      <c r="F11" s="5">
        <v>3011.25468945392</v>
      </c>
      <c r="G11" s="5">
        <v>2880.7669862442499</v>
      </c>
      <c r="H11">
        <v>15693.055288273399</v>
      </c>
      <c r="I11">
        <v>14567.561495981199</v>
      </c>
      <c r="J11">
        <v>13497.943282029701</v>
      </c>
      <c r="K11">
        <v>12595.951803100401</v>
      </c>
      <c r="L11">
        <v>12037.196019692899</v>
      </c>
      <c r="M11">
        <v>11518.3513636717</v>
      </c>
      <c r="N11" s="5">
        <v>5432.8053355564798</v>
      </c>
      <c r="O11" s="5">
        <v>5189.3955814922801</v>
      </c>
      <c r="P11" s="5">
        <v>4976.0983743226298</v>
      </c>
      <c r="Q11" s="5">
        <v>4767.8199249687304</v>
      </c>
      <c r="R11" s="5">
        <v>4557.0320967069501</v>
      </c>
      <c r="S11" s="5">
        <v>4358.7911629845703</v>
      </c>
    </row>
    <row r="12" spans="1:19" x14ac:dyDescent="0.3">
      <c r="A12" s="2" t="s">
        <v>42</v>
      </c>
      <c r="B12" s="5">
        <v>3101.59232253656</v>
      </c>
      <c r="C12" s="5">
        <v>1834.95228476228</v>
      </c>
      <c r="D12" s="5">
        <v>1716.7021734544601</v>
      </c>
      <c r="E12" s="5">
        <v>1598.45206214665</v>
      </c>
      <c r="F12" s="5">
        <v>1480.20195083884</v>
      </c>
      <c r="G12" s="5">
        <v>1361.9518395310199</v>
      </c>
      <c r="H12">
        <v>9450.7860197535501</v>
      </c>
      <c r="I12">
        <v>6748.2624636447099</v>
      </c>
      <c r="J12">
        <v>6356.3497265878696</v>
      </c>
      <c r="K12">
        <v>5964.4369895310301</v>
      </c>
      <c r="L12">
        <v>5572.5242524741998</v>
      </c>
      <c r="M12">
        <v>5180.6115154173604</v>
      </c>
      <c r="N12" s="5">
        <v>3994.7788582581202</v>
      </c>
      <c r="O12" s="5">
        <v>3852.3171680411001</v>
      </c>
      <c r="P12" s="5">
        <v>3486.7899019349902</v>
      </c>
      <c r="Q12" s="5">
        <v>3121.2626358288599</v>
      </c>
      <c r="R12" s="5">
        <v>2755.73536972275</v>
      </c>
      <c r="S12" s="5">
        <v>2390.2081036166601</v>
      </c>
    </row>
    <row r="13" spans="1:19" x14ac:dyDescent="0.3">
      <c r="A13" s="2" t="s">
        <v>43</v>
      </c>
      <c r="B13" s="5">
        <v>10194.363031687401</v>
      </c>
      <c r="C13" s="5">
        <v>9978.9358243518709</v>
      </c>
      <c r="D13" s="5">
        <v>9644.9980335805303</v>
      </c>
      <c r="E13" s="5">
        <v>9311.0727119516305</v>
      </c>
      <c r="F13" s="5">
        <v>8977.1424455218603</v>
      </c>
      <c r="G13" s="5">
        <v>8643.2054358245005</v>
      </c>
      <c r="H13">
        <v>31130.798877414501</v>
      </c>
      <c r="I13">
        <v>30472.943056168999</v>
      </c>
      <c r="J13">
        <v>29453.188298588</v>
      </c>
      <c r="K13">
        <v>28433.4716183606</v>
      </c>
      <c r="L13">
        <v>27413.7398380626</v>
      </c>
      <c r="M13">
        <v>26393.987465668099</v>
      </c>
      <c r="N13" s="5">
        <v>10194.363031687401</v>
      </c>
      <c r="O13" s="5">
        <v>9978.9358243518709</v>
      </c>
      <c r="P13" s="5">
        <v>9644.9980335805303</v>
      </c>
      <c r="Q13" s="5">
        <v>9311.0727119516305</v>
      </c>
      <c r="R13" s="5">
        <v>8977.1424455218603</v>
      </c>
      <c r="S13" s="5">
        <v>8643.2054358245005</v>
      </c>
    </row>
    <row r="14" spans="1:19" x14ac:dyDescent="0.3">
      <c r="A14" s="2" t="s">
        <v>44</v>
      </c>
      <c r="B14" s="5">
        <v>18879.105424351001</v>
      </c>
      <c r="C14" s="5">
        <v>17754.40977183</v>
      </c>
      <c r="D14" s="5">
        <v>16516.118500441698</v>
      </c>
      <c r="E14" s="5">
        <v>15484.268210075799</v>
      </c>
      <c r="F14" s="5">
        <v>14875.099927806101</v>
      </c>
      <c r="G14" s="5">
        <v>14285.584760543101</v>
      </c>
      <c r="H14">
        <v>46823.854165687902</v>
      </c>
      <c r="I14">
        <v>45040.504552150203</v>
      </c>
      <c r="J14">
        <v>42951.131580617701</v>
      </c>
      <c r="K14">
        <v>41029.423421460997</v>
      </c>
      <c r="L14">
        <v>39450.935857755503</v>
      </c>
      <c r="M14">
        <v>37912.338829339802</v>
      </c>
      <c r="N14" s="5">
        <v>20835.261322642</v>
      </c>
      <c r="O14" s="5">
        <v>20143.082552155101</v>
      </c>
      <c r="P14" s="5">
        <v>19391.3727730553</v>
      </c>
      <c r="Q14" s="5">
        <v>18649.5053922351</v>
      </c>
      <c r="R14" s="5">
        <v>17902.718102045401</v>
      </c>
      <c r="S14" s="5">
        <v>17180.498891431002</v>
      </c>
    </row>
    <row r="15" spans="1:19" x14ac:dyDescent="0.3">
      <c r="A15" s="2" t="s">
        <v>45</v>
      </c>
      <c r="B15" s="5">
        <v>5789.9300000000103</v>
      </c>
      <c r="C15" s="5">
        <v>5645.7139226862801</v>
      </c>
      <c r="D15" s="5">
        <v>5465.5315634516101</v>
      </c>
      <c r="E15" s="5">
        <v>5405.4707770400601</v>
      </c>
      <c r="F15" s="5">
        <v>5345.40999062848</v>
      </c>
      <c r="G15" s="5">
        <v>5285.3492042169401</v>
      </c>
      <c r="H15" s="6">
        <v>18802.349999999999</v>
      </c>
      <c r="I15" s="6">
        <v>18919.149201198801</v>
      </c>
      <c r="J15" s="6">
        <v>18919.150682757499</v>
      </c>
      <c r="K15" s="6">
        <v>18162.383403855099</v>
      </c>
      <c r="L15" s="6">
        <v>18162.383403855099</v>
      </c>
      <c r="M15" s="6">
        <v>18162.383403855099</v>
      </c>
      <c r="N15" s="5">
        <v>5969</v>
      </c>
      <c r="O15" s="5">
        <v>6006.0786411556301</v>
      </c>
      <c r="P15" s="5">
        <v>6006.0786411556301</v>
      </c>
      <c r="Q15" s="5">
        <v>6006.0786411556301</v>
      </c>
      <c r="R15" s="5">
        <v>6006.0786411556301</v>
      </c>
      <c r="S15" s="5">
        <v>6006.0786411556301</v>
      </c>
    </row>
    <row r="16" spans="1:19" x14ac:dyDescent="0.3">
      <c r="A16" t="s">
        <v>46</v>
      </c>
      <c r="B16">
        <v>23614.69</v>
      </c>
      <c r="C16">
        <v>17139.182499999999</v>
      </c>
      <c r="D16">
        <v>14113.852500000001</v>
      </c>
      <c r="E16">
        <v>13388.65</v>
      </c>
      <c r="F16">
        <v>12663.4475</v>
      </c>
      <c r="G16">
        <v>11938.245000000001</v>
      </c>
      <c r="H16" s="7">
        <v>115008.05250000001</v>
      </c>
      <c r="I16" s="7">
        <v>100438.160625</v>
      </c>
      <c r="J16" s="7">
        <v>93631.168124999997</v>
      </c>
      <c r="K16" s="7">
        <v>91999.462499999994</v>
      </c>
      <c r="L16" s="7">
        <v>90367.756875000006</v>
      </c>
      <c r="M16" s="7">
        <v>88736.051250000004</v>
      </c>
      <c r="N16">
        <v>25852.86</v>
      </c>
      <c r="O16">
        <v>23880.9175</v>
      </c>
      <c r="P16">
        <v>22926.0075</v>
      </c>
      <c r="Q16">
        <v>22636.872500000001</v>
      </c>
      <c r="R16">
        <v>22599.94</v>
      </c>
      <c r="S16">
        <v>22573.759999999998</v>
      </c>
    </row>
  </sheetData>
  <phoneticPr fontId="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6"/>
  <sheetViews>
    <sheetView workbookViewId="0">
      <selection activeCell="C21" sqref="C21"/>
    </sheetView>
  </sheetViews>
  <sheetFormatPr defaultColWidth="9" defaultRowHeight="14" x14ac:dyDescent="0.3"/>
  <cols>
    <col min="2" max="19" width="12.58203125"/>
  </cols>
  <sheetData>
    <row r="1" spans="1:19" x14ac:dyDescent="0.3">
      <c r="A1" s="1" t="s">
        <v>109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121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19" x14ac:dyDescent="0.3">
      <c r="A2" s="2" t="s">
        <v>32</v>
      </c>
      <c r="B2" s="4">
        <v>445.260540540541</v>
      </c>
      <c r="C2" s="4">
        <v>420.86270270270302</v>
      </c>
      <c r="D2" s="4">
        <v>402.56432432432399</v>
      </c>
      <c r="E2" s="4">
        <v>402.56432432432399</v>
      </c>
      <c r="F2" s="4">
        <v>402.56432432432399</v>
      </c>
      <c r="G2" s="4">
        <v>402.56432432432399</v>
      </c>
      <c r="H2" s="4">
        <v>445.260540540541</v>
      </c>
      <c r="I2" s="4">
        <v>433.06162162162201</v>
      </c>
      <c r="J2" s="4">
        <v>426.96216216216197</v>
      </c>
      <c r="K2" s="4">
        <v>426.96216216216197</v>
      </c>
      <c r="L2" s="4">
        <v>426.96216216216197</v>
      </c>
      <c r="M2" s="4">
        <v>426.96216216216197</v>
      </c>
      <c r="N2" s="4">
        <v>451.36</v>
      </c>
      <c r="O2" s="4">
        <v>451.36</v>
      </c>
      <c r="P2" s="4">
        <v>451.36</v>
      </c>
      <c r="Q2" s="4">
        <v>451.36</v>
      </c>
      <c r="R2" s="4">
        <v>451.36</v>
      </c>
      <c r="S2" s="4">
        <v>451.36</v>
      </c>
    </row>
    <row r="3" spans="1:19" x14ac:dyDescent="0.3">
      <c r="A3" s="2" t="s">
        <v>33</v>
      </c>
      <c r="B3" s="4">
        <v>713.44</v>
      </c>
      <c r="C3" s="4">
        <v>713.44</v>
      </c>
      <c r="D3" s="4">
        <v>713.44</v>
      </c>
      <c r="E3" s="4">
        <v>713.44</v>
      </c>
      <c r="F3" s="4">
        <v>713.44</v>
      </c>
      <c r="G3" s="4">
        <v>713.44</v>
      </c>
      <c r="H3" s="4">
        <v>713.44</v>
      </c>
      <c r="I3" s="4">
        <v>713.44</v>
      </c>
      <c r="J3" s="4">
        <v>713.44</v>
      </c>
      <c r="K3" s="4">
        <v>713.44</v>
      </c>
      <c r="L3" s="4">
        <v>713.44</v>
      </c>
      <c r="M3" s="4">
        <v>713.44</v>
      </c>
      <c r="N3" s="4">
        <v>713.44</v>
      </c>
      <c r="O3" s="4">
        <v>713.44</v>
      </c>
      <c r="P3" s="4">
        <v>713.44</v>
      </c>
      <c r="Q3" s="4">
        <v>713.44</v>
      </c>
      <c r="R3" s="4">
        <v>713.44</v>
      </c>
      <c r="S3" s="4">
        <v>713.44</v>
      </c>
    </row>
    <row r="4" spans="1:19" x14ac:dyDescent="0.3">
      <c r="A4" s="2" t="s">
        <v>34</v>
      </c>
      <c r="B4" s="4">
        <v>2599.3809771522101</v>
      </c>
      <c r="C4" s="4">
        <v>2320.3118923692</v>
      </c>
      <c r="D4" s="4">
        <v>2133.2596379972301</v>
      </c>
      <c r="E4" s="4">
        <v>1992.36365692454</v>
      </c>
      <c r="F4" s="4">
        <v>1879.29490705434</v>
      </c>
      <c r="G4" s="4">
        <v>1784.85378651937</v>
      </c>
      <c r="H4" s="4">
        <v>2685.1845723440101</v>
      </c>
      <c r="I4" s="4">
        <v>2448.5880340922899</v>
      </c>
      <c r="J4" s="4">
        <v>2290.0039476787101</v>
      </c>
      <c r="K4" s="4">
        <v>2170.5514422129099</v>
      </c>
      <c r="L4" s="4">
        <v>2074.69103967302</v>
      </c>
      <c r="M4" s="4">
        <v>1994.6232593075899</v>
      </c>
      <c r="N4" s="4">
        <v>2867.9403563501101</v>
      </c>
      <c r="O4" s="4">
        <v>2721.8074347185802</v>
      </c>
      <c r="P4" s="4">
        <v>2623.8585972455899</v>
      </c>
      <c r="Q4" s="4">
        <v>2550.0792268925202</v>
      </c>
      <c r="R4" s="4">
        <v>2490.87142615527</v>
      </c>
      <c r="S4" s="4">
        <v>2441.41787641269</v>
      </c>
    </row>
    <row r="5" spans="1:19" x14ac:dyDescent="0.3">
      <c r="A5" s="2" t="s">
        <v>35</v>
      </c>
      <c r="B5" s="4">
        <v>956.344818604652</v>
      </c>
      <c r="C5" s="4">
        <v>849.80963720930401</v>
      </c>
      <c r="D5" s="4">
        <v>786.07391441860705</v>
      </c>
      <c r="E5" s="4">
        <v>722.33819162790701</v>
      </c>
      <c r="F5" s="4">
        <v>658.60246883720902</v>
      </c>
      <c r="G5" s="4">
        <v>594.86674604651205</v>
      </c>
      <c r="H5" s="4">
        <v>1012.82576744186</v>
      </c>
      <c r="I5" s="4">
        <v>962.77153488371903</v>
      </c>
      <c r="J5" s="4">
        <v>926.66760232557795</v>
      </c>
      <c r="K5" s="4">
        <v>890.56366976744403</v>
      </c>
      <c r="L5" s="4">
        <v>854.45973720929601</v>
      </c>
      <c r="M5" s="4">
        <v>818.355804651163</v>
      </c>
      <c r="N5" s="4">
        <v>1062.8800000000001</v>
      </c>
      <c r="O5" s="4">
        <v>1062.8800000000001</v>
      </c>
      <c r="P5" s="4">
        <v>1050.8268172093001</v>
      </c>
      <c r="Q5" s="4">
        <v>1038.7736344186101</v>
      </c>
      <c r="R5" s="4">
        <v>1026.7204516279</v>
      </c>
      <c r="S5" s="4">
        <v>1014.66726883721</v>
      </c>
    </row>
    <row r="6" spans="1:19" x14ac:dyDescent="0.3">
      <c r="A6" s="2" t="s">
        <v>36</v>
      </c>
      <c r="B6" s="4">
        <v>369.15530696405199</v>
      </c>
      <c r="C6" s="4">
        <v>283.58402300940901</v>
      </c>
      <c r="D6" s="4">
        <v>270.31053288942599</v>
      </c>
      <c r="E6" s="4">
        <v>257.39288608444701</v>
      </c>
      <c r="F6" s="4">
        <v>244.78466824903001</v>
      </c>
      <c r="G6" s="4">
        <v>232.447200761983</v>
      </c>
      <c r="H6" s="4">
        <v>388.71687469817999</v>
      </c>
      <c r="I6" s="4">
        <v>325.72348840696299</v>
      </c>
      <c r="J6" s="4">
        <v>315.00348735990502</v>
      </c>
      <c r="K6" s="4">
        <v>304.41340539893201</v>
      </c>
      <c r="L6" s="4">
        <v>293.94324874818801</v>
      </c>
      <c r="M6" s="4">
        <v>283.58402300940901</v>
      </c>
      <c r="N6" s="4">
        <v>433.94065932773401</v>
      </c>
      <c r="O6" s="4">
        <v>426.98980822296897</v>
      </c>
      <c r="P6" s="4">
        <v>401.63660713122903</v>
      </c>
      <c r="Q6" s="4">
        <v>376.30837499703802</v>
      </c>
      <c r="R6" s="4">
        <v>351.004270170143</v>
      </c>
      <c r="S6" s="4">
        <v>325.72348840696299</v>
      </c>
    </row>
    <row r="7" spans="1:19" x14ac:dyDescent="0.3">
      <c r="A7" s="2" t="s">
        <v>108</v>
      </c>
      <c r="B7" s="4">
        <v>1887.704</v>
      </c>
      <c r="C7" s="4">
        <v>1793.3189641229801</v>
      </c>
      <c r="D7" s="4">
        <v>1793.3189641229801</v>
      </c>
      <c r="E7" s="4">
        <v>1630.9762727107</v>
      </c>
      <c r="F7" s="4">
        <v>1630.9762727107</v>
      </c>
      <c r="G7" s="4">
        <v>1630.9762727107</v>
      </c>
      <c r="H7" s="4">
        <v>1887.704</v>
      </c>
      <c r="I7" s="4">
        <v>1887.704</v>
      </c>
      <c r="J7" s="4">
        <v>1887.704</v>
      </c>
      <c r="K7" s="4">
        <v>1812.1957922551301</v>
      </c>
      <c r="L7" s="4">
        <v>1812.1957922551301</v>
      </c>
      <c r="M7" s="4">
        <v>1812.1957922551301</v>
      </c>
      <c r="N7" s="4">
        <v>1887.704</v>
      </c>
      <c r="O7" s="4">
        <v>1887.704</v>
      </c>
      <c r="P7" s="4">
        <v>1887.704</v>
      </c>
      <c r="Q7" s="4">
        <v>1887.704</v>
      </c>
      <c r="R7" s="4">
        <v>1887.704</v>
      </c>
      <c r="S7" s="4">
        <v>1887.704</v>
      </c>
    </row>
    <row r="8" spans="1:19" x14ac:dyDescent="0.3">
      <c r="A8" s="2" t="s">
        <v>38</v>
      </c>
      <c r="B8" s="4">
        <v>4050.5920000000001</v>
      </c>
      <c r="C8" s="4">
        <v>4050.5920000000001</v>
      </c>
      <c r="D8" s="4">
        <v>4050.5920000000001</v>
      </c>
      <c r="E8" s="4">
        <v>4050.5920000000001</v>
      </c>
      <c r="F8" s="4">
        <v>4050.5920000000001</v>
      </c>
      <c r="G8" s="4">
        <v>4050.5920000000001</v>
      </c>
      <c r="H8" s="4">
        <v>4050.5920000000001</v>
      </c>
      <c r="I8" s="4">
        <v>4050.5920000000001</v>
      </c>
      <c r="J8" s="4">
        <v>4050.5920000000001</v>
      </c>
      <c r="K8" s="4">
        <v>4050.5920000000001</v>
      </c>
      <c r="L8" s="4">
        <v>4050.5920000000001</v>
      </c>
      <c r="M8" s="4">
        <v>4050.5920000000001</v>
      </c>
      <c r="N8" s="4">
        <v>4050.5920000000001</v>
      </c>
      <c r="O8" s="4">
        <v>4050.5920000000001</v>
      </c>
      <c r="P8" s="4">
        <v>4050.5920000000001</v>
      </c>
      <c r="Q8" s="4">
        <v>4050.5920000000001</v>
      </c>
      <c r="R8" s="4">
        <v>4050.5920000000001</v>
      </c>
      <c r="S8" s="4">
        <v>4050.5920000000001</v>
      </c>
    </row>
    <row r="9" spans="1:19" x14ac:dyDescent="0.3">
      <c r="A9" s="54" t="s">
        <v>112</v>
      </c>
      <c r="B9" s="4">
        <v>1184.6927358498799</v>
      </c>
      <c r="C9" s="4">
        <v>801.409791898447</v>
      </c>
      <c r="D9" s="4">
        <v>751.32167990478899</v>
      </c>
      <c r="E9" s="4">
        <v>701.23356791113895</v>
      </c>
      <c r="F9" s="4">
        <v>651.14545591748595</v>
      </c>
      <c r="G9" s="4">
        <v>601.05734392383397</v>
      </c>
      <c r="H9" s="4">
        <v>792.13348002402404</v>
      </c>
      <c r="I9" s="4">
        <v>683.03852885924096</v>
      </c>
      <c r="J9" s="4">
        <v>640.75812974585494</v>
      </c>
      <c r="K9" s="4">
        <v>598.068221692149</v>
      </c>
      <c r="L9" s="4">
        <v>555.378313638446</v>
      </c>
      <c r="M9" s="4">
        <v>512.80303924222198</v>
      </c>
      <c r="N9" s="4">
        <v>1546.5789118622799</v>
      </c>
      <c r="O9" s="4">
        <v>1383.3103209416299</v>
      </c>
      <c r="P9" s="4">
        <v>1383.3103209416299</v>
      </c>
      <c r="Q9" s="4">
        <v>1383.3103209416299</v>
      </c>
      <c r="R9" s="4">
        <v>1383.3103209416299</v>
      </c>
      <c r="S9" s="4">
        <v>1383.3103209416299</v>
      </c>
    </row>
    <row r="10" spans="1:19" x14ac:dyDescent="0.3">
      <c r="A10" s="2" t="s">
        <v>40</v>
      </c>
      <c r="B10" s="4">
        <v>1747.89888</v>
      </c>
      <c r="C10" s="4">
        <v>1577.3721599999999</v>
      </c>
      <c r="D10" s="4">
        <v>1392.6348800000001</v>
      </c>
      <c r="E10" s="4">
        <v>1278.9503999999999</v>
      </c>
      <c r="F10" s="4">
        <v>1278.9503999999999</v>
      </c>
      <c r="G10" s="4">
        <v>1278.9503999999999</v>
      </c>
      <c r="H10" s="4">
        <v>1762.1094399999999</v>
      </c>
      <c r="I10" s="4">
        <v>1676.84608</v>
      </c>
      <c r="J10" s="4">
        <v>1591.5827200000001</v>
      </c>
      <c r="K10" s="4">
        <v>1534.7404799999999</v>
      </c>
      <c r="L10" s="4">
        <v>1534.7404799999999</v>
      </c>
      <c r="M10" s="4">
        <v>1534.7404799999999</v>
      </c>
      <c r="N10" s="4">
        <v>1776.32</v>
      </c>
      <c r="O10" s="4">
        <v>1776.32</v>
      </c>
      <c r="P10" s="4">
        <v>1776.32</v>
      </c>
      <c r="Q10" s="4">
        <v>1776.32</v>
      </c>
      <c r="R10" s="4">
        <v>1776.32</v>
      </c>
      <c r="S10" s="4">
        <v>1776.32</v>
      </c>
    </row>
    <row r="11" spans="1:19" x14ac:dyDescent="0.3">
      <c r="A11" s="2" t="s">
        <v>41</v>
      </c>
      <c r="B11" s="4">
        <v>1795.0089552238801</v>
      </c>
      <c r="C11" s="4">
        <v>1734.1611940298501</v>
      </c>
      <c r="D11" s="4">
        <v>1673.3134328358201</v>
      </c>
      <c r="E11" s="4">
        <v>1612.4656716417901</v>
      </c>
      <c r="F11" s="4">
        <v>1612.4656716417901</v>
      </c>
      <c r="G11" s="4">
        <v>1612.4656716417901</v>
      </c>
      <c r="H11" s="4">
        <v>1916.7044776119401</v>
      </c>
      <c r="I11" s="4">
        <v>1886.28059701492</v>
      </c>
      <c r="J11" s="4">
        <v>1855.8567164179101</v>
      </c>
      <c r="K11" s="4">
        <v>1825.43283582089</v>
      </c>
      <c r="L11" s="4">
        <v>1825.43283582089</v>
      </c>
      <c r="M11" s="4">
        <v>1825.43283582089</v>
      </c>
      <c r="N11" s="4">
        <v>2038.4</v>
      </c>
      <c r="O11" s="4">
        <v>2038.4</v>
      </c>
      <c r="P11" s="4">
        <v>2038.4</v>
      </c>
      <c r="Q11" s="4">
        <v>2038.4</v>
      </c>
      <c r="R11" s="4">
        <v>2038.4</v>
      </c>
      <c r="S11" s="4">
        <v>2038.4</v>
      </c>
    </row>
    <row r="12" spans="1:19" x14ac:dyDescent="0.3">
      <c r="A12" s="2" t="s">
        <v>42</v>
      </c>
      <c r="B12" s="4">
        <v>347.48772656253902</v>
      </c>
      <c r="C12" s="4">
        <v>234.74701714558901</v>
      </c>
      <c r="D12" s="4">
        <v>224.31961645682301</v>
      </c>
      <c r="E12" s="4">
        <v>213.892215768059</v>
      </c>
      <c r="F12" s="4">
        <v>203.46481507929499</v>
      </c>
      <c r="G12" s="4">
        <v>193.03741439052999</v>
      </c>
      <c r="H12" s="4">
        <v>369.24904000582302</v>
      </c>
      <c r="I12" s="4">
        <v>283.70997239297202</v>
      </c>
      <c r="J12" s="4">
        <v>271.46923358112701</v>
      </c>
      <c r="K12" s="4">
        <v>259.22849476928002</v>
      </c>
      <c r="L12" s="4">
        <v>246.98775595743399</v>
      </c>
      <c r="M12" s="4">
        <v>234.74701714558901</v>
      </c>
      <c r="N12" s="4">
        <v>426.55130061940997</v>
      </c>
      <c r="O12" s="4">
        <v>412.64005877354401</v>
      </c>
      <c r="P12" s="4">
        <v>380.40753717840101</v>
      </c>
      <c r="Q12" s="4">
        <v>348.17501558325802</v>
      </c>
      <c r="R12" s="4">
        <v>315.94249398811502</v>
      </c>
      <c r="S12" s="4">
        <v>283.70997239297202</v>
      </c>
    </row>
    <row r="13" spans="1:19" x14ac:dyDescent="0.3">
      <c r="A13" s="2" t="s">
        <v>43</v>
      </c>
      <c r="B13" s="4">
        <v>3261.44</v>
      </c>
      <c r="C13" s="4">
        <v>3261.44</v>
      </c>
      <c r="D13" s="4">
        <v>3261.44</v>
      </c>
      <c r="E13" s="4">
        <v>3261.44</v>
      </c>
      <c r="F13" s="4">
        <v>3261.44</v>
      </c>
      <c r="G13" s="4">
        <v>3261.44</v>
      </c>
      <c r="H13" s="4">
        <v>3261.44</v>
      </c>
      <c r="I13" s="4">
        <v>3261.44</v>
      </c>
      <c r="J13" s="4">
        <v>3261.44</v>
      </c>
      <c r="K13" s="4">
        <v>3261.44</v>
      </c>
      <c r="L13" s="4">
        <v>3261.44</v>
      </c>
      <c r="M13" s="4">
        <v>3261.44</v>
      </c>
      <c r="N13" s="4">
        <v>3261.44</v>
      </c>
      <c r="O13" s="4">
        <v>3261.44</v>
      </c>
      <c r="P13" s="4">
        <v>3261.44</v>
      </c>
      <c r="Q13" s="4">
        <v>3261.44</v>
      </c>
      <c r="R13" s="4">
        <v>3261.44</v>
      </c>
      <c r="S13" s="4">
        <v>3261.44</v>
      </c>
    </row>
    <row r="14" spans="1:19" x14ac:dyDescent="0.3">
      <c r="A14" s="2" t="s">
        <v>44</v>
      </c>
      <c r="B14" s="4">
        <v>3261.44</v>
      </c>
      <c r="C14" s="4">
        <v>3261.44</v>
      </c>
      <c r="D14" s="4">
        <v>3261.44</v>
      </c>
      <c r="E14" s="4">
        <v>3261.44</v>
      </c>
      <c r="F14" s="4">
        <v>3261.44</v>
      </c>
      <c r="G14" s="4">
        <v>3261.44</v>
      </c>
      <c r="H14" s="4">
        <v>3261.44</v>
      </c>
      <c r="I14" s="4">
        <v>3261.44</v>
      </c>
      <c r="J14" s="4">
        <v>3261.44</v>
      </c>
      <c r="K14" s="4">
        <v>3261.44</v>
      </c>
      <c r="L14" s="4">
        <v>3261.44</v>
      </c>
      <c r="M14" s="4">
        <v>3261.44</v>
      </c>
      <c r="N14" s="4">
        <v>3261.44</v>
      </c>
      <c r="O14" s="4">
        <v>3261.44</v>
      </c>
      <c r="P14" s="4">
        <v>3261.44</v>
      </c>
      <c r="Q14" s="4">
        <v>3261.44</v>
      </c>
      <c r="R14" s="4">
        <v>3261.44</v>
      </c>
      <c r="S14" s="4">
        <v>3261.44</v>
      </c>
    </row>
    <row r="15" spans="1:19" x14ac:dyDescent="0.3">
      <c r="A15" s="2" t="s">
        <v>45</v>
      </c>
      <c r="B15" s="4">
        <v>1086.1759999999999</v>
      </c>
      <c r="C15" s="4">
        <v>1086.1759999999999</v>
      </c>
      <c r="D15" s="4">
        <v>1086.1759999999999</v>
      </c>
      <c r="E15" s="4">
        <v>1086.1759999999999</v>
      </c>
      <c r="F15" s="4">
        <v>1086.1759999999999</v>
      </c>
      <c r="G15" s="4">
        <v>1086.1759999999999</v>
      </c>
      <c r="H15" s="4">
        <v>1086.1759999999999</v>
      </c>
      <c r="I15" s="4">
        <v>1086.1759999999999</v>
      </c>
      <c r="J15" s="4">
        <v>1086.1759999999999</v>
      </c>
      <c r="K15" s="4">
        <v>1086.1759999999999</v>
      </c>
      <c r="L15" s="4">
        <v>1086.1759999999999</v>
      </c>
      <c r="M15" s="4">
        <v>1086.1759999999999</v>
      </c>
      <c r="N15" s="4">
        <v>1086.1759999999999</v>
      </c>
      <c r="O15" s="4">
        <v>1086.1759999999999</v>
      </c>
      <c r="P15" s="4">
        <v>1086.1759999999999</v>
      </c>
      <c r="Q15" s="4">
        <v>1086.1759999999999</v>
      </c>
      <c r="R15" s="4">
        <v>1086.1759999999999</v>
      </c>
      <c r="S15" s="4">
        <v>1086.1759999999999</v>
      </c>
    </row>
    <row r="16" spans="1:19" x14ac:dyDescent="0.3">
      <c r="A16" t="s">
        <v>46</v>
      </c>
      <c r="B16">
        <v>3000.4277205123299</v>
      </c>
      <c r="C16">
        <v>2304.9197659636902</v>
      </c>
      <c r="D16">
        <v>2197.0352334847398</v>
      </c>
      <c r="E16">
        <v>2092.0429312577999</v>
      </c>
      <c r="F16">
        <v>1989.5656118586501</v>
      </c>
      <c r="G16">
        <v>1889.2889024338599</v>
      </c>
      <c r="H16">
        <v>3159.4206131483702</v>
      </c>
      <c r="I16">
        <v>2647.4217366009598</v>
      </c>
      <c r="J16">
        <v>2560.2915025267498</v>
      </c>
      <c r="K16">
        <v>2474.2172273401902</v>
      </c>
      <c r="L16">
        <v>2389.1176834345201</v>
      </c>
      <c r="M16">
        <v>2304.9197659636902</v>
      </c>
      <c r="N16">
        <v>3526.9913739344402</v>
      </c>
      <c r="O16">
        <v>3470.4961104438298</v>
      </c>
      <c r="P16">
        <v>3264.4298669839</v>
      </c>
      <c r="Q16">
        <v>3058.5665667052499</v>
      </c>
      <c r="R16">
        <v>2852.8993688265</v>
      </c>
      <c r="S16">
        <v>2647.4217366009598</v>
      </c>
    </row>
  </sheetData>
  <phoneticPr fontId="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6"/>
  <sheetViews>
    <sheetView workbookViewId="0">
      <selection activeCell="I26" sqref="I26"/>
    </sheetView>
  </sheetViews>
  <sheetFormatPr defaultColWidth="9" defaultRowHeight="14" x14ac:dyDescent="0.3"/>
  <cols>
    <col min="2" max="2" width="11.5"/>
    <col min="3" max="4" width="12.58203125"/>
    <col min="5" max="7" width="9.33203125"/>
    <col min="9" max="13" width="12.58203125"/>
  </cols>
  <sheetData>
    <row r="1" spans="1:19" x14ac:dyDescent="0.3">
      <c r="A1" s="1" t="s">
        <v>122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121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19" x14ac:dyDescent="0.25">
      <c r="A2" s="2" t="s">
        <v>32</v>
      </c>
      <c r="B2" s="3">
        <v>1.99472</v>
      </c>
      <c r="C2" s="3">
        <v>1.7453799999999999</v>
      </c>
      <c r="D2" s="3">
        <v>1.7453799999999999</v>
      </c>
      <c r="E2" s="3">
        <v>1.7453799999999999</v>
      </c>
      <c r="F2" s="3">
        <v>1.7453799999999999</v>
      </c>
      <c r="G2" s="3">
        <v>1.7453799999999999</v>
      </c>
      <c r="H2" s="3">
        <v>1.99472</v>
      </c>
      <c r="I2" s="3">
        <v>1.99472</v>
      </c>
      <c r="J2" s="3">
        <v>1.99472</v>
      </c>
      <c r="K2" s="3">
        <v>1.99472</v>
      </c>
      <c r="L2" s="3">
        <v>1.99472</v>
      </c>
      <c r="M2" s="3">
        <v>1.99472</v>
      </c>
      <c r="N2" s="3">
        <v>1.99472</v>
      </c>
      <c r="O2" s="3">
        <v>1.99472</v>
      </c>
      <c r="P2" s="3">
        <v>1.99472</v>
      </c>
      <c r="Q2" s="3">
        <v>1.99472</v>
      </c>
      <c r="R2" s="3">
        <v>1.99472</v>
      </c>
      <c r="S2" s="3">
        <v>1.99472</v>
      </c>
    </row>
    <row r="3" spans="1:19" x14ac:dyDescent="0.25">
      <c r="A3" s="2" t="s">
        <v>33</v>
      </c>
      <c r="B3" s="3">
        <v>3.2541600000000002</v>
      </c>
      <c r="C3" s="3">
        <v>3.2541600000000002</v>
      </c>
      <c r="D3" s="3">
        <v>3.2541600000000002</v>
      </c>
      <c r="E3" s="3">
        <v>3.2541600000000002</v>
      </c>
      <c r="F3" s="3">
        <v>3.2541600000000002</v>
      </c>
      <c r="G3" s="3">
        <v>3.2541600000000002</v>
      </c>
      <c r="H3" s="3">
        <v>3.2541600000000002</v>
      </c>
      <c r="I3" s="3">
        <v>3.2541600000000002</v>
      </c>
      <c r="J3" s="3">
        <v>3.2541600000000002</v>
      </c>
      <c r="K3" s="3">
        <v>3.2541600000000002</v>
      </c>
      <c r="L3" s="3">
        <v>3.2541600000000002</v>
      </c>
      <c r="M3" s="3">
        <v>3.2541600000000002</v>
      </c>
      <c r="N3" s="3">
        <v>3.2541600000000002</v>
      </c>
      <c r="O3" s="3">
        <v>3.2541600000000002</v>
      </c>
      <c r="P3" s="3">
        <v>3.2541600000000002</v>
      </c>
      <c r="Q3" s="3">
        <v>3.2541600000000002</v>
      </c>
      <c r="R3" s="3">
        <v>3.2541600000000002</v>
      </c>
      <c r="S3" s="3">
        <v>3.2541600000000002</v>
      </c>
    </row>
    <row r="4" spans="1:19" x14ac:dyDescent="0.3">
      <c r="A4" s="2" t="s">
        <v>34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3">
      <c r="A5" s="2" t="s">
        <v>35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3">
      <c r="A6" s="2" t="s">
        <v>36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">
      <c r="A7" s="2" t="s">
        <v>108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3">
      <c r="A8" s="2" t="s">
        <v>38</v>
      </c>
      <c r="B8" s="1">
        <v>0.34943999999999997</v>
      </c>
      <c r="C8" s="1">
        <v>0.34943999999999997</v>
      </c>
      <c r="D8" s="1">
        <v>0.34943999999999997</v>
      </c>
      <c r="E8" s="1">
        <v>0.34943999999999997</v>
      </c>
      <c r="F8" s="1">
        <v>0.34943999999999997</v>
      </c>
      <c r="G8" s="1">
        <v>0.34943999999999997</v>
      </c>
      <c r="H8" s="1">
        <v>0.34943999999999997</v>
      </c>
      <c r="I8" s="1">
        <v>0.34943999999999997</v>
      </c>
      <c r="J8" s="1">
        <v>0.34943999999999997</v>
      </c>
      <c r="K8" s="1">
        <v>0.34943999999999997</v>
      </c>
      <c r="L8" s="1">
        <v>0.34943999999999997</v>
      </c>
      <c r="M8" s="1">
        <v>0.34943999999999997</v>
      </c>
      <c r="N8" s="1">
        <v>0.34943999999999997</v>
      </c>
      <c r="O8" s="1">
        <v>0.34943999999999997</v>
      </c>
      <c r="P8" s="1">
        <v>0.34943999999999997</v>
      </c>
      <c r="Q8" s="1">
        <v>0.34943999999999997</v>
      </c>
      <c r="R8" s="1">
        <v>0.34943999999999997</v>
      </c>
      <c r="S8" s="1">
        <v>0.34943999999999997</v>
      </c>
    </row>
    <row r="9" spans="1:19" x14ac:dyDescent="0.3">
      <c r="A9" s="54" t="s">
        <v>112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s="2" t="s">
        <v>40</v>
      </c>
      <c r="B10" s="3">
        <v>2.1548799999999999</v>
      </c>
      <c r="C10" s="3">
        <v>2.01122133333334</v>
      </c>
      <c r="D10" s="3">
        <v>1.86756266666666</v>
      </c>
      <c r="E10" s="3">
        <v>1.7239040000000001</v>
      </c>
      <c r="F10" s="3">
        <v>1.7239040000000001</v>
      </c>
      <c r="G10" s="3">
        <v>1.7239040000000001</v>
      </c>
      <c r="H10" s="3">
        <v>2.1548799999999999</v>
      </c>
      <c r="I10" s="3">
        <v>2.01122133333334</v>
      </c>
      <c r="J10" s="3">
        <v>2.01122133333334</v>
      </c>
      <c r="K10" s="3">
        <v>1.86756266666666</v>
      </c>
      <c r="L10" s="3">
        <v>1.86756266666666</v>
      </c>
      <c r="M10" s="3">
        <v>1.86756266666666</v>
      </c>
      <c r="N10" s="3">
        <v>2.1548799999999999</v>
      </c>
      <c r="O10" s="3">
        <v>2.1548799999999999</v>
      </c>
      <c r="P10" s="3">
        <v>2.1548799999999999</v>
      </c>
      <c r="Q10" s="3">
        <v>2.1548799999999999</v>
      </c>
      <c r="R10" s="3">
        <v>2.1548799999999999</v>
      </c>
      <c r="S10" s="3">
        <v>2.1548799999999999</v>
      </c>
    </row>
    <row r="11" spans="1:19" x14ac:dyDescent="0.25">
      <c r="A11" s="2" t="s">
        <v>41</v>
      </c>
      <c r="B11" s="3">
        <v>3.6327199999999999</v>
      </c>
      <c r="C11" s="3">
        <v>3.6327199999999999</v>
      </c>
      <c r="D11" s="3">
        <v>3.6327199999999999</v>
      </c>
      <c r="E11" s="3">
        <v>3.6327199999999999</v>
      </c>
      <c r="F11" s="3">
        <v>3.6327199999999999</v>
      </c>
      <c r="G11" s="3">
        <v>3.6327199999999999</v>
      </c>
      <c r="H11" s="3">
        <v>3.6327199999999999</v>
      </c>
      <c r="I11" s="3">
        <v>3.6327199999999999</v>
      </c>
      <c r="J11" s="3">
        <v>3.6327199999999999</v>
      </c>
      <c r="K11" s="3">
        <v>3.6327199999999999</v>
      </c>
      <c r="L11" s="3">
        <v>3.6327199999999999</v>
      </c>
      <c r="M11" s="3">
        <v>3.6327199999999999</v>
      </c>
      <c r="N11" s="3">
        <v>3.6327199999999999</v>
      </c>
      <c r="O11" s="3">
        <v>3.6327199999999999</v>
      </c>
      <c r="P11" s="3">
        <v>3.6327199999999999</v>
      </c>
      <c r="Q11" s="3">
        <v>3.6327199999999999</v>
      </c>
      <c r="R11" s="3">
        <v>3.6327199999999999</v>
      </c>
      <c r="S11" s="3">
        <v>3.6327199999999999</v>
      </c>
    </row>
    <row r="12" spans="1:19" x14ac:dyDescent="0.3">
      <c r="A12" s="2" t="s">
        <v>42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3">
      <c r="A13" s="2" t="s">
        <v>43</v>
      </c>
      <c r="B13" s="1">
        <v>3.6836799999999998</v>
      </c>
      <c r="C13" s="1">
        <v>3.6836799999999998</v>
      </c>
      <c r="D13" s="1">
        <v>3.6836799999999998</v>
      </c>
      <c r="E13" s="1">
        <v>3.6836799999999998</v>
      </c>
      <c r="F13" s="1">
        <v>3.6836799999999998</v>
      </c>
      <c r="G13" s="1">
        <v>3.6836799999999998</v>
      </c>
      <c r="H13" s="1">
        <v>3.6836799999999998</v>
      </c>
      <c r="I13" s="1">
        <v>3.6836799999999998</v>
      </c>
      <c r="J13" s="1">
        <v>3.6836799999999998</v>
      </c>
      <c r="K13" s="1">
        <v>3.6836799999999998</v>
      </c>
      <c r="L13" s="1">
        <v>3.6836799999999998</v>
      </c>
      <c r="M13" s="1">
        <v>3.6836799999999998</v>
      </c>
      <c r="N13" s="1">
        <v>3.6836799999999998</v>
      </c>
      <c r="O13" s="1">
        <v>3.6836799999999998</v>
      </c>
      <c r="P13" s="1">
        <v>3.6836799999999998</v>
      </c>
      <c r="Q13" s="1">
        <v>3.6836799999999998</v>
      </c>
      <c r="R13" s="1">
        <v>3.6836799999999998</v>
      </c>
      <c r="S13" s="1">
        <v>3.6836799999999998</v>
      </c>
    </row>
    <row r="14" spans="1:19" x14ac:dyDescent="0.3">
      <c r="A14" s="2" t="s">
        <v>44</v>
      </c>
      <c r="B14" s="1">
        <v>3.6836799999999998</v>
      </c>
      <c r="C14" s="1">
        <v>3.6836799999999998</v>
      </c>
      <c r="D14" s="1">
        <v>3.6836799999999998</v>
      </c>
      <c r="E14" s="1">
        <v>3.6836799999999998</v>
      </c>
      <c r="F14" s="1">
        <v>3.6836799999999998</v>
      </c>
      <c r="G14" s="1">
        <v>3.6836799999999998</v>
      </c>
      <c r="H14" s="1">
        <v>3.6836799999999998</v>
      </c>
      <c r="I14" s="1">
        <v>3.6836799999999998</v>
      </c>
      <c r="J14" s="1">
        <v>3.6836799999999998</v>
      </c>
      <c r="K14" s="1">
        <v>3.6836799999999998</v>
      </c>
      <c r="L14" s="1">
        <v>3.6836799999999998</v>
      </c>
      <c r="M14" s="1">
        <v>3.6836799999999998</v>
      </c>
      <c r="N14" s="1">
        <v>3.6836799999999998</v>
      </c>
      <c r="O14" s="1">
        <v>3.6836799999999998</v>
      </c>
      <c r="P14" s="1">
        <v>3.6836799999999998</v>
      </c>
      <c r="Q14" s="1">
        <v>3.6836799999999998</v>
      </c>
      <c r="R14" s="1">
        <v>3.6836799999999998</v>
      </c>
      <c r="S14" s="1">
        <v>3.6836799999999998</v>
      </c>
    </row>
    <row r="15" spans="1:19" x14ac:dyDescent="0.3">
      <c r="A15" s="2" t="s">
        <v>45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spans="1:19" x14ac:dyDescent="0.3">
      <c r="A16" t="s">
        <v>46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I0</vt:lpstr>
      <vt:lpstr>I0_zhang</vt:lpstr>
      <vt:lpstr>ydl_cn2050</vt:lpstr>
      <vt:lpstr>upper_limit</vt:lpstr>
      <vt:lpstr>Manucap</vt:lpstr>
      <vt:lpstr>m1</vt:lpstr>
      <vt:lpstr>gas</vt:lpstr>
      <vt:lpstr>m3</vt:lpstr>
      <vt:lpstr>lifetime</vt:lpstr>
      <vt:lpstr>cost_inv</vt:lpstr>
      <vt:lpstr>cost_fom</vt:lpstr>
      <vt:lpstr>cost_ope</vt:lpstr>
      <vt:lpstr>existing_lines</vt:lpstr>
      <vt:lpstr>candidate_lines</vt:lpstr>
      <vt:lpstr>cf_h_upper</vt:lpstr>
      <vt:lpstr>cost_inv_us</vt:lpstr>
      <vt:lpstr>cost_fom_us</vt:lpstr>
      <vt:lpstr>cost_ope_us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Ruifei Ma</cp:lastModifiedBy>
  <dcterms:created xsi:type="dcterms:W3CDTF">2023-01-10T01:44:00Z</dcterms:created>
  <dcterms:modified xsi:type="dcterms:W3CDTF">2025-10-21T13:51:07Z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643CEA3FCC1B4CF9853B0B4AD62CC651</vt:lpwstr>
  </property>
  <property fmtid="{D5CDD505-2E9C-101B-9397-08002B2CF9AE}" pid="3" name="KSOProductBuildVer">
    <vt:lpwstr>2052-12.1.0.16120</vt:lpwstr>
  </property>
</Properties>
</file>